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ncing Teaching\final\Bond Foundations\"/>
    </mc:Choice>
  </mc:AlternateContent>
  <xr:revisionPtr revIDLastSave="0" documentId="8_{A8F1DFB7-8B90-440C-B412-B58E91E0D24F}" xr6:coauthVersionLast="47" xr6:coauthVersionMax="47" xr10:uidLastSave="{00000000-0000-0000-0000-000000000000}"/>
  <bookViews>
    <workbookView xWindow="-28920" yWindow="-120" windowWidth="29040" windowHeight="15720" tabRatio="950" activeTab="2" xr2:uid="{55A0331B-8277-4EC1-9369-5280361C0216}"/>
  </bookViews>
  <sheets>
    <sheet name="Ex 1" sheetId="8" r:id="rId1"/>
    <sheet name="Ex2" sheetId="11" r:id="rId2"/>
    <sheet name="Ex 3 " sheetId="10" r:id="rId3"/>
    <sheet name="Ex 2 high" sheetId="9" r:id="rId4"/>
    <sheet name="Sample 1" sheetId="1" state="hidden" r:id="rId5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1" l="1"/>
  <c r="D25" i="11"/>
  <c r="D24" i="11"/>
  <c r="D23" i="11"/>
  <c r="D22" i="11"/>
  <c r="D21" i="11"/>
  <c r="D20" i="11"/>
  <c r="D19" i="11"/>
  <c r="D18" i="11"/>
  <c r="D17" i="11"/>
  <c r="D16" i="11"/>
  <c r="D15" i="11"/>
  <c r="D14" i="11"/>
  <c r="C15" i="11"/>
  <c r="D6" i="8"/>
  <c r="D5" i="8"/>
  <c r="H4" i="8"/>
  <c r="G4" i="8"/>
  <c r="F4" i="8"/>
  <c r="E4" i="8"/>
  <c r="H2" i="8"/>
  <c r="G2" i="8"/>
  <c r="F2" i="8"/>
  <c r="E2" i="8"/>
  <c r="D2" i="8"/>
  <c r="E26" i="8"/>
  <c r="D28" i="8"/>
  <c r="D27" i="8"/>
  <c r="M26" i="8"/>
  <c r="L26" i="8"/>
  <c r="K26" i="8"/>
  <c r="J26" i="8"/>
  <c r="I26" i="8"/>
  <c r="H26" i="8"/>
  <c r="G26" i="8"/>
  <c r="F26" i="8"/>
  <c r="D26" i="8"/>
  <c r="M25" i="8"/>
  <c r="D24" i="8"/>
  <c r="D4" i="8"/>
  <c r="D13" i="11"/>
  <c r="C14" i="11"/>
  <c r="M24" i="8"/>
  <c r="L24" i="8"/>
  <c r="K24" i="8"/>
  <c r="J24" i="8"/>
  <c r="I24" i="8"/>
  <c r="H24" i="8"/>
  <c r="G24" i="8"/>
  <c r="F24" i="8"/>
  <c r="E24" i="8"/>
  <c r="D6" i="11"/>
  <c r="H4" i="11"/>
  <c r="G4" i="11"/>
  <c r="F4" i="11"/>
  <c r="E4" i="11"/>
  <c r="D4" i="11"/>
  <c r="H3" i="11"/>
  <c r="D2" i="11"/>
  <c r="H2" i="11"/>
  <c r="G2" i="11"/>
  <c r="F2" i="11"/>
  <c r="E2" i="11"/>
  <c r="D6" i="9"/>
  <c r="D12" i="9"/>
  <c r="H3" i="8"/>
  <c r="H2" i="10"/>
  <c r="G2" i="10"/>
  <c r="F2" i="10"/>
  <c r="F4" i="10" s="1"/>
  <c r="E2" i="10"/>
  <c r="D2" i="10"/>
  <c r="D4" i="10" s="1"/>
  <c r="G4" i="10"/>
  <c r="H3" i="10"/>
  <c r="M16" i="10"/>
  <c r="M15" i="10"/>
  <c r="L15" i="10"/>
  <c r="L17" i="10" s="1"/>
  <c r="K15" i="10"/>
  <c r="K17" i="10" s="1"/>
  <c r="J15" i="10"/>
  <c r="J17" i="10" s="1"/>
  <c r="I15" i="10"/>
  <c r="I17" i="10" s="1"/>
  <c r="H15" i="10"/>
  <c r="H17" i="10" s="1"/>
  <c r="G15" i="10"/>
  <c r="G17" i="10" s="1"/>
  <c r="F15" i="10"/>
  <c r="F17" i="10" s="1"/>
  <c r="E15" i="10"/>
  <c r="E17" i="10" s="1"/>
  <c r="D15" i="10"/>
  <c r="D17" i="10" s="1"/>
  <c r="D4" i="9"/>
  <c r="D21" i="9"/>
  <c r="D20" i="9"/>
  <c r="D19" i="9"/>
  <c r="D18" i="9"/>
  <c r="D17" i="9"/>
  <c r="D16" i="9"/>
  <c r="D15" i="9"/>
  <c r="D14" i="9"/>
  <c r="D13" i="9"/>
  <c r="D11" i="9"/>
  <c r="D10" i="9"/>
  <c r="D9" i="9"/>
  <c r="C11" i="9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10" i="9"/>
  <c r="M4" i="9"/>
  <c r="L4" i="9"/>
  <c r="K4" i="9"/>
  <c r="J4" i="9"/>
  <c r="I4" i="9"/>
  <c r="H4" i="9"/>
  <c r="G4" i="9"/>
  <c r="F4" i="9"/>
  <c r="D5" i="9" s="1"/>
  <c r="E4" i="9"/>
  <c r="M3" i="9"/>
  <c r="M2" i="9"/>
  <c r="L2" i="9"/>
  <c r="K2" i="9"/>
  <c r="J2" i="9"/>
  <c r="I2" i="9"/>
  <c r="H2" i="9"/>
  <c r="G2" i="9"/>
  <c r="F2" i="9"/>
  <c r="E2" i="9"/>
  <c r="D2" i="9"/>
  <c r="C16" i="11" l="1"/>
  <c r="D6" i="10"/>
  <c r="D7" i="10" s="1"/>
  <c r="D5" i="11"/>
  <c r="M17" i="10"/>
  <c r="H4" i="10"/>
  <c r="E4" i="10"/>
  <c r="D5" i="10" s="1"/>
  <c r="D19" i="10"/>
  <c r="D20" i="10" s="1"/>
  <c r="D18" i="10"/>
  <c r="C17" i="11" l="1"/>
  <c r="C18" i="11" l="1"/>
  <c r="C19" i="11" l="1"/>
  <c r="C20" i="11" l="1"/>
  <c r="C21" i="11" l="1"/>
  <c r="C22" i="11" l="1"/>
  <c r="C23" i="11" l="1"/>
  <c r="C24" i="11" l="1"/>
  <c r="C25" i="11" l="1"/>
  <c r="F4" i="1" l="1"/>
  <c r="G2" i="1"/>
  <c r="G4" i="1" s="1"/>
  <c r="F2" i="1"/>
  <c r="H2" i="1" l="1"/>
  <c r="I2" i="1" l="1"/>
  <c r="H4" i="1"/>
  <c r="J2" i="1" l="1"/>
  <c r="I4" i="1"/>
  <c r="K2" i="1" l="1"/>
  <c r="J4" i="1"/>
  <c r="L2" i="1" l="1"/>
  <c r="K4" i="1"/>
  <c r="M2" i="1" l="1"/>
  <c r="L4" i="1"/>
  <c r="N2" i="1" l="1"/>
  <c r="M4" i="1"/>
  <c r="O2" i="1" l="1"/>
  <c r="O4" i="1" s="1"/>
  <c r="N4" i="1"/>
  <c r="B5" i="1" l="1"/>
  <c r="B7" i="1" s="1"/>
</calcChain>
</file>

<file path=xl/sharedStrings.xml><?xml version="1.0" encoding="utf-8"?>
<sst xmlns="http://schemas.openxmlformats.org/spreadsheetml/2006/main" count="91" uniqueCount="25">
  <si>
    <t>Y</t>
  </si>
  <si>
    <t>Face Value</t>
  </si>
  <si>
    <t>number of periods</t>
  </si>
  <si>
    <t>Coupon Rate</t>
  </si>
  <si>
    <t>Period index</t>
  </si>
  <si>
    <t>Coupon</t>
  </si>
  <si>
    <t>Principal</t>
  </si>
  <si>
    <t>PV</t>
  </si>
  <si>
    <t>Calculated Price</t>
  </si>
  <si>
    <t xml:space="preserve">Bond Price </t>
  </si>
  <si>
    <t xml:space="preserve">Difference </t>
  </si>
  <si>
    <t>YTM</t>
  </si>
  <si>
    <t>Trial YTM</t>
  </si>
  <si>
    <t>Bond Price</t>
  </si>
  <si>
    <t>Present Value</t>
  </si>
  <si>
    <t>Face value</t>
  </si>
  <si>
    <t>Annual coupon rate</t>
  </si>
  <si>
    <t>Maturity (years)</t>
  </si>
  <si>
    <t>Observed market price</t>
  </si>
  <si>
    <t>Payment Frequency/Year</t>
  </si>
  <si>
    <t>Trial yield</t>
  </si>
  <si>
    <t xml:space="preserve">Period </t>
  </si>
  <si>
    <t>Calculated market Price</t>
  </si>
  <si>
    <t>fixedIncomeWithThomasLee@gmail.com</t>
  </si>
  <si>
    <t>FixedIncomeWithThomasLee@gmail.com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</si>
</sst>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70" formatCode="0.000%"/>
  </numFmts>
  <fonts count="1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6" fontId="2" fillId="0" borderId="0" xfId="0" applyNumberFormat="1" applyFont="1"/>
    <xf numFmtId="6" fontId="1" fillId="2" borderId="0" xfId="0" applyNumberFormat="1" applyFont="1" applyFill="1"/>
    <xf numFmtId="164" fontId="2" fillId="0" borderId="0" xfId="0" applyNumberFormat="1" applyFont="1"/>
    <xf numFmtId="10" fontId="2" fillId="0" borderId="0" xfId="0" applyNumberFormat="1" applyFont="1"/>
    <xf numFmtId="10" fontId="1" fillId="2" borderId="0" xfId="0" applyNumberFormat="1" applyFont="1" applyFill="1"/>
    <xf numFmtId="0" fontId="2" fillId="3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4" fillId="0" borderId="0" xfId="0" applyFont="1"/>
    <xf numFmtId="0" fontId="6" fillId="6" borderId="1" xfId="0" applyFont="1" applyFill="1" applyBorder="1" applyAlignment="1">
      <alignment horizontal="left" vertical="center" wrapText="1" readingOrder="1"/>
    </xf>
    <xf numFmtId="0" fontId="7" fillId="0" borderId="0" xfId="0" applyFont="1"/>
    <xf numFmtId="0" fontId="10" fillId="0" borderId="0" xfId="0" applyFont="1"/>
    <xf numFmtId="0" fontId="11" fillId="6" borderId="1" xfId="0" applyFont="1" applyFill="1" applyBorder="1" applyAlignment="1">
      <alignment horizontal="left" vertical="center" wrapText="1" readingOrder="1"/>
    </xf>
    <xf numFmtId="0" fontId="12" fillId="0" borderId="0" xfId="0" applyFont="1" applyFill="1"/>
    <xf numFmtId="0" fontId="12" fillId="7" borderId="0" xfId="0" applyFont="1" applyFill="1"/>
    <xf numFmtId="0" fontId="13" fillId="0" borderId="1" xfId="0" applyFont="1" applyFill="1" applyBorder="1" applyAlignment="1">
      <alignment horizontal="left" vertical="center" wrapText="1" readingOrder="1"/>
    </xf>
    <xf numFmtId="9" fontId="13" fillId="0" borderId="1" xfId="0" applyNumberFormat="1" applyFont="1" applyFill="1" applyBorder="1" applyAlignment="1">
      <alignment horizontal="left" vertical="center" wrapText="1" readingOrder="1"/>
    </xf>
    <xf numFmtId="0" fontId="12" fillId="8" borderId="0" xfId="0" applyFont="1" applyFill="1"/>
    <xf numFmtId="10" fontId="10" fillId="0" borderId="0" xfId="0" applyNumberFormat="1" applyFont="1"/>
    <xf numFmtId="0" fontId="9" fillId="8" borderId="0" xfId="0" applyFont="1" applyFill="1"/>
    <xf numFmtId="0" fontId="8" fillId="8" borderId="0" xfId="0" applyFont="1" applyFill="1"/>
    <xf numFmtId="0" fontId="9" fillId="8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1" fillId="8" borderId="0" xfId="0" applyFont="1" applyFill="1"/>
    <xf numFmtId="0" fontId="8" fillId="3" borderId="0" xfId="0" applyFont="1" applyFill="1"/>
    <xf numFmtId="170" fontId="10" fillId="0" borderId="0" xfId="0" applyNumberFormat="1" applyFont="1"/>
    <xf numFmtId="0" fontId="8" fillId="0" borderId="0" xfId="0" applyFont="1" applyFill="1"/>
    <xf numFmtId="0" fontId="5" fillId="3" borderId="0" xfId="0" applyFont="1" applyFill="1"/>
    <xf numFmtId="0" fontId="11" fillId="6" borderId="0" xfId="0" applyFont="1" applyFill="1" applyBorder="1" applyAlignment="1">
      <alignment horizontal="left" vertical="center" wrapText="1" readingOrder="1"/>
    </xf>
    <xf numFmtId="9" fontId="13" fillId="0" borderId="0" xfId="0" applyNumberFormat="1" applyFont="1" applyFill="1" applyBorder="1" applyAlignment="1">
      <alignment horizontal="left" vertical="center" wrapText="1" readingOrder="1"/>
    </xf>
    <xf numFmtId="170" fontId="2" fillId="0" borderId="0" xfId="0" applyNumberFormat="1" applyFont="1"/>
    <xf numFmtId="10" fontId="2" fillId="9" borderId="0" xfId="0" applyNumberFormat="1" applyFont="1" applyFill="1"/>
    <xf numFmtId="0" fontId="2" fillId="9" borderId="0" xfId="0" applyFont="1" applyFill="1"/>
    <xf numFmtId="0" fontId="14" fillId="6" borderId="1" xfId="0" applyFont="1" applyFill="1" applyBorder="1" applyAlignment="1">
      <alignment horizontal="left" vertical="center" wrapText="1" readingOrder="1"/>
    </xf>
    <xf numFmtId="0" fontId="1" fillId="7" borderId="0" xfId="0" applyFont="1" applyFill="1"/>
    <xf numFmtId="10" fontId="13" fillId="0" borderId="1" xfId="0" applyNumberFormat="1" applyFont="1" applyFill="1" applyBorder="1" applyAlignment="1">
      <alignment horizontal="left" vertical="center" wrapText="1" readingOrder="1"/>
    </xf>
    <xf numFmtId="0" fontId="11" fillId="0" borderId="0" xfId="0" applyFont="1" applyFill="1" applyBorder="1" applyAlignment="1">
      <alignment horizontal="left" vertical="center" wrapText="1" readingOrder="1"/>
    </xf>
    <xf numFmtId="0" fontId="3" fillId="0" borderId="0" xfId="1" applyFill="1"/>
    <xf numFmtId="0" fontId="15" fillId="6" borderId="1" xfId="0" applyFont="1" applyFill="1" applyBorder="1" applyAlignment="1">
      <alignment horizontal="left" vertical="center" wrapText="1" readingOrder="1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7" borderId="0" xfId="0" applyFont="1" applyFill="1"/>
    <xf numFmtId="0" fontId="18" fillId="0" borderId="0" xfId="0" applyFont="1"/>
    <xf numFmtId="9" fontId="16" fillId="0" borderId="1" xfId="0" applyNumberFormat="1" applyFont="1" applyFill="1" applyBorder="1" applyAlignment="1">
      <alignment horizontal="left" vertical="center" wrapText="1" readingOrder="1"/>
    </xf>
    <xf numFmtId="170" fontId="16" fillId="0" borderId="1" xfId="0" applyNumberFormat="1" applyFont="1" applyFill="1" applyBorder="1" applyAlignment="1">
      <alignment horizontal="left" vertical="center" wrapText="1" readingOrder="1"/>
    </xf>
    <xf numFmtId="0" fontId="17" fillId="8" borderId="0" xfId="0" applyFont="1" applyFill="1"/>
    <xf numFmtId="0" fontId="17" fillId="3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Bond Price vs YTM</a:t>
            </a:r>
            <a:endParaRPr lang="en-US" b="1"/>
          </a:p>
        </c:rich>
      </c:tx>
      <c:layout>
        <c:manualLayout>
          <c:xMode val="edge"/>
          <c:yMode val="edge"/>
          <c:x val="0.3163457487801860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98719096339114"/>
          <c:y val="9.7734488464656474E-2"/>
          <c:w val="0.73613561134544692"/>
          <c:h val="0.71155020073403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'Ex2'!$D$12</c:f>
              <c:strCache>
                <c:ptCount val="1"/>
                <c:pt idx="0">
                  <c:v>Bond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'Ex2'!$C$13:$C$25</c:f>
              <c:numCache>
                <c:formatCode>0.00%</c:formatCode>
                <c:ptCount val="13"/>
                <c:pt idx="0">
                  <c:v>0.02</c:v>
                </c:pt>
                <c:pt idx="1">
                  <c:v>2.5000000000000001E-2</c:v>
                </c:pt>
                <c:pt idx="2">
                  <c:v>3.0000000000000002E-2</c:v>
                </c:pt>
                <c:pt idx="3">
                  <c:v>3.5000000000000003E-2</c:v>
                </c:pt>
                <c:pt idx="4">
                  <c:v>0.04</c:v>
                </c:pt>
                <c:pt idx="5">
                  <c:v>4.4999999999999998E-2</c:v>
                </c:pt>
                <c:pt idx="6">
                  <c:v>4.9999999999999996E-2</c:v>
                </c:pt>
                <c:pt idx="7">
                  <c:v>5.4999999999999993E-2</c:v>
                </c:pt>
                <c:pt idx="8">
                  <c:v>5.9999999999999991E-2</c:v>
                </c:pt>
                <c:pt idx="9">
                  <c:v>6.4999999999999988E-2</c:v>
                </c:pt>
                <c:pt idx="10">
                  <c:v>6.9999999999999993E-2</c:v>
                </c:pt>
                <c:pt idx="11">
                  <c:v>7.4999999999999997E-2</c:v>
                </c:pt>
                <c:pt idx="12">
                  <c:v>0.08</c:v>
                </c:pt>
              </c:numCache>
            </c:numRef>
          </c:xVal>
          <c:yVal>
            <c:numRef>
              <c:f>'Ex2'!$D$13:$D$25</c:f>
              <c:numCache>
                <c:formatCode>General</c:formatCode>
                <c:ptCount val="13"/>
                <c:pt idx="0">
                  <c:v>1094.27</c:v>
                </c:pt>
                <c:pt idx="1">
                  <c:v>1069.69</c:v>
                </c:pt>
                <c:pt idx="2">
                  <c:v>1045.8</c:v>
                </c:pt>
                <c:pt idx="3">
                  <c:v>1022.58</c:v>
                </c:pt>
                <c:pt idx="4">
                  <c:v>1000</c:v>
                </c:pt>
                <c:pt idx="5">
                  <c:v>978.05</c:v>
                </c:pt>
                <c:pt idx="6">
                  <c:v>956.71</c:v>
                </c:pt>
                <c:pt idx="7">
                  <c:v>935.95</c:v>
                </c:pt>
                <c:pt idx="8">
                  <c:v>915.75</c:v>
                </c:pt>
                <c:pt idx="9">
                  <c:v>896.11</c:v>
                </c:pt>
                <c:pt idx="10">
                  <c:v>876.99</c:v>
                </c:pt>
                <c:pt idx="11">
                  <c:v>858.39</c:v>
                </c:pt>
                <c:pt idx="12">
                  <c:v>840.29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2-4C00-A81B-4C0C24A9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58184"/>
        <c:axId val="578366520"/>
      </c:scatterChart>
      <c:valAx>
        <c:axId val="822958184"/>
        <c:scaling>
          <c:orientation val="minMax"/>
          <c:max val="8.500000000000002E-2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YTM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66520"/>
        <c:crosses val="autoZero"/>
        <c:crossBetween val="midCat"/>
      </c:valAx>
      <c:valAx>
        <c:axId val="578366520"/>
        <c:scaling>
          <c:orientation val="minMax"/>
          <c:max val="11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Bond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58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Bond Price vs YTM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 2 high'!$D$8</c:f>
              <c:strCache>
                <c:ptCount val="1"/>
                <c:pt idx="0">
                  <c:v>Bond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high'!$C$9:$C$21</c:f>
              <c:numCache>
                <c:formatCode>0.00%</c:formatCode>
                <c:ptCount val="13"/>
                <c:pt idx="0">
                  <c:v>0.02</c:v>
                </c:pt>
                <c:pt idx="1">
                  <c:v>2.5000000000000001E-2</c:v>
                </c:pt>
                <c:pt idx="2">
                  <c:v>3.0000000000000002E-2</c:v>
                </c:pt>
                <c:pt idx="3">
                  <c:v>3.5000000000000003E-2</c:v>
                </c:pt>
                <c:pt idx="4">
                  <c:v>0.04</c:v>
                </c:pt>
                <c:pt idx="5">
                  <c:v>4.4999999999999998E-2</c:v>
                </c:pt>
                <c:pt idx="6">
                  <c:v>4.9999999999999996E-2</c:v>
                </c:pt>
                <c:pt idx="7">
                  <c:v>5.4999999999999993E-2</c:v>
                </c:pt>
                <c:pt idx="8">
                  <c:v>5.9999999999999991E-2</c:v>
                </c:pt>
                <c:pt idx="9">
                  <c:v>6.4999999999999988E-2</c:v>
                </c:pt>
                <c:pt idx="10">
                  <c:v>6.9999999999999993E-2</c:v>
                </c:pt>
                <c:pt idx="11">
                  <c:v>7.4999999999999997E-2</c:v>
                </c:pt>
                <c:pt idx="12">
                  <c:v>0.08</c:v>
                </c:pt>
              </c:numCache>
            </c:numRef>
          </c:xVal>
          <c:yVal>
            <c:numRef>
              <c:f>'Ex 2 high'!$D$9:$D$21</c:f>
              <c:numCache>
                <c:formatCode>General</c:formatCode>
                <c:ptCount val="13"/>
                <c:pt idx="0">
                  <c:v>1094.71</c:v>
                </c:pt>
                <c:pt idx="1">
                  <c:v>1070.0899999999999</c:v>
                </c:pt>
                <c:pt idx="2">
                  <c:v>1046.1099999999999</c:v>
                </c:pt>
                <c:pt idx="3">
                  <c:v>1022.75</c:v>
                </c:pt>
                <c:pt idx="4">
                  <c:v>1000</c:v>
                </c:pt>
                <c:pt idx="5">
                  <c:v>977.83</c:v>
                </c:pt>
                <c:pt idx="6">
                  <c:v>956.24</c:v>
                </c:pt>
                <c:pt idx="7">
                  <c:v>935.2</c:v>
                </c:pt>
                <c:pt idx="8">
                  <c:v>914.7</c:v>
                </c:pt>
                <c:pt idx="9">
                  <c:v>894.72</c:v>
                </c:pt>
                <c:pt idx="10">
                  <c:v>875.25</c:v>
                </c:pt>
                <c:pt idx="11">
                  <c:v>856.28</c:v>
                </c:pt>
                <c:pt idx="12">
                  <c:v>837.78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7-4AA7-B37D-D986ED0C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564816"/>
        <c:axId val="671570576"/>
      </c:scatterChart>
      <c:valAx>
        <c:axId val="671564816"/>
        <c:scaling>
          <c:orientation val="minMax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70576"/>
        <c:crosses val="autoZero"/>
        <c:crossBetween val="midCat"/>
      </c:valAx>
      <c:valAx>
        <c:axId val="671570576"/>
        <c:scaling>
          <c:orientation val="minMax"/>
          <c:max val="11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6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5" Type="http://schemas.openxmlformats.org/officeDocument/2006/relationships/image" Target="../media/image9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196850</xdr:colOff>
      <xdr:row>4</xdr:row>
      <xdr:rowOff>44450</xdr:rowOff>
    </xdr:from>
    <xdr:to>
      <xdr:col>12</xdr:col>
      <xdr:colOff>818170</xdr:colOff>
      <xdr:row>5</xdr:row>
      <xdr:rowOff>227473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EA342-2EEA-4CD2-9E7F-2BB067055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2200" y="1235075"/>
          <a:ext cx="4640870" cy="506873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111125</xdr:colOff>
      <xdr:row>7</xdr:row>
      <xdr:rowOff>285750</xdr:rowOff>
    </xdr:from>
    <xdr:to>
      <xdr:col>11</xdr:col>
      <xdr:colOff>371188</xdr:colOff>
      <xdr:row>9</xdr:row>
      <xdr:rowOff>275918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B0E65-63B2-40D1-9D07-9CDDB4473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6550" y="2390775"/>
          <a:ext cx="6748022" cy="583893"/>
        </a:xfrm>
        <a:prstGeom prst="rect">
          <a:avLst/>
        </a:prstGeom>
      </xdr:spPr>
    </xdr:pic>
    <xdr:clientData/>
  </xdr:twoCellAnchor>
  <xdr:twoCellAnchor>
    <xdr:from>
      <xdr:col>3</xdr:col>
      <xdr:colOff>323850</xdr:colOff>
      <xdr:row>6</xdr:row>
      <xdr:rowOff>6350</xdr:rowOff>
    </xdr:from>
    <xdr:to>
      <xdr:col>3</xdr:col>
      <xdr:colOff>457200</xdr:colOff>
      <xdr:row>8</xdr:row>
      <xdr:rowOff>104775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6C4CF92B-F856-9F8D-B13C-5AB098C5C1B8}"/>
            </a:ext>
          </a:extLst>
        </xdr:cNvPr>
        <xdr:cNvSpPr/>
      </xdr:nvSpPr>
      <xdr:spPr>
        <a:xfrm>
          <a:off x="5629275" y="1816100"/>
          <a:ext cx="133350" cy="688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285750</xdr:colOff>
      <xdr:row>4</xdr:row>
      <xdr:rowOff>44450</xdr:rowOff>
    </xdr:from>
    <xdr:to>
      <xdr:col>7</xdr:col>
      <xdr:colOff>200025</xdr:colOff>
      <xdr:row>4</xdr:row>
      <xdr:rowOff>299474</xdr:rowOff>
    </xdr:to>
    <xdr:cxnSp macro="">
      <xdr:nvCxnSpPr>
        <xdr:cNvPr id="6" name="Connector: Curved 5">
          <a:extLst>
            <a:ext uri="{FF2B5EF4-FFF2-40B4-BE49-F238E27FC236}">
              <a16:creationId xmlns:a16="http://schemas.microsoft.com/office/drawing/2014/main" id="{A42F81C9-5F4E-5DFE-5306-8A87C600D34F}"/>
            </a:ext>
          </a:extLst>
        </xdr:cNvPr>
        <xdr:cNvCxnSpPr>
          <a:endCxn id="2" idx="1"/>
        </xdr:cNvCxnSpPr>
      </xdr:nvCxnSpPr>
      <xdr:spPr>
        <a:xfrm>
          <a:off x="7267575" y="1235075"/>
          <a:ext cx="1447800" cy="25502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800100</xdr:colOff>
      <xdr:row>5</xdr:row>
      <xdr:rowOff>266700</xdr:rowOff>
    </xdr:from>
    <xdr:to>
      <xdr:col>8</xdr:col>
      <xdr:colOff>742331</xdr:colOff>
      <xdr:row>7</xdr:row>
      <xdr:rowOff>82550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5CD5F2-0CF0-9B50-765D-A948AA18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5525" y="1781175"/>
          <a:ext cx="4056929" cy="409575"/>
        </a:xfrm>
        <a:prstGeom prst="rect">
          <a:avLst/>
        </a:prstGeom>
      </xdr:spPr>
    </xdr:pic>
    <xdr:clientData/>
  </xdr:twoCellAnchor>
  <xdr:twoCellAnchor>
    <xdr:from>
      <xdr:col>3</xdr:col>
      <xdr:colOff>828676</xdr:colOff>
      <xdr:row>3</xdr:row>
      <xdr:rowOff>190499</xdr:rowOff>
    </xdr:from>
    <xdr:to>
      <xdr:col>4</xdr:col>
      <xdr:colOff>266701</xdr:colOff>
      <xdr:row>5</xdr:row>
      <xdr:rowOff>219074</xdr:rowOff>
    </xdr:to>
    <xdr:cxnSp macro="">
      <xdr:nvCxnSpPr>
        <xdr:cNvPr id="10" name="Connector: Curved 9">
          <a:extLst>
            <a:ext uri="{FF2B5EF4-FFF2-40B4-BE49-F238E27FC236}">
              <a16:creationId xmlns:a16="http://schemas.microsoft.com/office/drawing/2014/main" id="{17A9CBA2-5B5C-E4BA-F5DE-362917AAD182}"/>
            </a:ext>
          </a:extLst>
        </xdr:cNvPr>
        <xdr:cNvCxnSpPr/>
      </xdr:nvCxnSpPr>
      <xdr:spPr>
        <a:xfrm rot="16200000" flipH="1">
          <a:off x="5976938" y="1252537"/>
          <a:ext cx="638175" cy="32385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680473</xdr:colOff>
      <xdr:row>0</xdr:row>
      <xdr:rowOff>85623</xdr:rowOff>
    </xdr:from>
    <xdr:to>
      <xdr:col>3</xdr:col>
      <xdr:colOff>406503</xdr:colOff>
      <xdr:row>1</xdr:row>
      <xdr:rowOff>209457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7A1F3-DA4C-91AC-AEB6-4357A8707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6683" y="85623"/>
          <a:ext cx="1975364" cy="359399"/>
        </a:xfrm>
        <a:prstGeom prst="rect">
          <a:avLst/>
        </a:prstGeom>
      </xdr:spPr>
    </xdr:pic>
    <xdr:clientData/>
  </xdr:twoCellAnchor>
  <xdr:twoCellAnchor>
    <xdr:from>
      <xdr:col>2</xdr:col>
      <xdr:colOff>1962149</xdr:colOff>
      <xdr:row>1</xdr:row>
      <xdr:rowOff>292100</xdr:rowOff>
    </xdr:from>
    <xdr:to>
      <xdr:col>3</xdr:col>
      <xdr:colOff>57149</xdr:colOff>
      <xdr:row>4</xdr:row>
      <xdr:rowOff>152400</xdr:rowOff>
    </xdr:to>
    <xdr:sp macro="" textlink="">
      <xdr:nvSpPr>
        <xdr:cNvPr id="12" name="Arrow: Bent-Up 11">
          <a:extLst>
            <a:ext uri="{FF2B5EF4-FFF2-40B4-BE49-F238E27FC236}">
              <a16:creationId xmlns:a16="http://schemas.microsoft.com/office/drawing/2014/main" id="{9B6C738E-7717-3A87-6E38-7A5E6980B853}"/>
            </a:ext>
          </a:extLst>
        </xdr:cNvPr>
        <xdr:cNvSpPr/>
      </xdr:nvSpPr>
      <xdr:spPr>
        <a:xfrm flipH="1">
          <a:off x="5029199" y="530225"/>
          <a:ext cx="333375" cy="81280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565149</xdr:colOff>
      <xdr:row>0</xdr:row>
      <xdr:rowOff>158752</xdr:rowOff>
    </xdr:from>
    <xdr:to>
      <xdr:col>11</xdr:col>
      <xdr:colOff>225425</xdr:colOff>
      <xdr:row>1</xdr:row>
      <xdr:rowOff>266701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2036788-5E25-17BE-D96D-1C23B41F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66324" y="158752"/>
          <a:ext cx="2022476" cy="346074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1</xdr:row>
      <xdr:rowOff>133350</xdr:rowOff>
    </xdr:from>
    <xdr:to>
      <xdr:col>8</xdr:col>
      <xdr:colOff>447675</xdr:colOff>
      <xdr:row>1</xdr:row>
      <xdr:rowOff>146050</xdr:rowOff>
    </xdr:to>
    <xdr:cxnSp macro="">
      <xdr:nvCxnSpPr>
        <xdr:cNvPr id="15" name="Connector: Curved 14">
          <a:extLst>
            <a:ext uri="{FF2B5EF4-FFF2-40B4-BE49-F238E27FC236}">
              <a16:creationId xmlns:a16="http://schemas.microsoft.com/office/drawing/2014/main" id="{614DB595-3655-C4DD-E176-E2C5AC9CFC8E}"/>
            </a:ext>
          </a:extLst>
        </xdr:cNvPr>
        <xdr:cNvCxnSpPr/>
      </xdr:nvCxnSpPr>
      <xdr:spPr>
        <a:xfrm>
          <a:off x="9458325" y="371475"/>
          <a:ext cx="390525" cy="1270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763839</xdr:colOff>
      <xdr:row>26</xdr:row>
      <xdr:rowOff>131223</xdr:rowOff>
    </xdr:from>
    <xdr:to>
      <xdr:col>11</xdr:col>
      <xdr:colOff>6937</xdr:colOff>
      <xdr:row>27</xdr:row>
      <xdr:rowOff>183649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693502-522B-C5F3-943A-5984C8C04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2773" y="8067052"/>
          <a:ext cx="5740081" cy="535527"/>
        </a:xfrm>
        <a:prstGeom prst="rect">
          <a:avLst/>
        </a:prstGeom>
      </xdr:spPr>
    </xdr:pic>
    <xdr:clientData/>
  </xdr:twoCellAnchor>
  <xdr:twoCellAnchor editAs="oneCell">
    <xdr:from>
      <xdr:col>3</xdr:col>
      <xdr:colOff>686209</xdr:colOff>
      <xdr:row>10</xdr:row>
      <xdr:rowOff>9322</xdr:rowOff>
    </xdr:from>
    <xdr:to>
      <xdr:col>10</xdr:col>
      <xdr:colOff>450645</xdr:colOff>
      <xdr:row>13</xdr:row>
      <xdr:rowOff>564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CAB0914-8385-B09A-3E2E-F4F680893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5403" y="3020451"/>
          <a:ext cx="5417984" cy="879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467953</xdr:colOff>
      <xdr:row>5</xdr:row>
      <xdr:rowOff>84738</xdr:rowOff>
    </xdr:from>
    <xdr:to>
      <xdr:col>10</xdr:col>
      <xdr:colOff>488437</xdr:colOff>
      <xdr:row>6</xdr:row>
      <xdr:rowOff>87877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3178A3-23BA-E481-AE6F-A29267CF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3598" y="2553044"/>
          <a:ext cx="5165111" cy="512061"/>
        </a:xfrm>
        <a:prstGeom prst="rect">
          <a:avLst/>
        </a:prstGeom>
      </xdr:spPr>
    </xdr:pic>
    <xdr:clientData/>
  </xdr:twoCellAnchor>
  <xdr:twoCellAnchor>
    <xdr:from>
      <xdr:col>4</xdr:col>
      <xdr:colOff>38789</xdr:colOff>
      <xdr:row>5</xdr:row>
      <xdr:rowOff>218347</xdr:rowOff>
    </xdr:from>
    <xdr:to>
      <xdr:col>4</xdr:col>
      <xdr:colOff>426470</xdr:colOff>
      <xdr:row>5</xdr:row>
      <xdr:rowOff>407534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4DD8FCF-A52A-2159-211D-37290A73501D}"/>
            </a:ext>
          </a:extLst>
        </xdr:cNvPr>
        <xdr:cNvSpPr/>
      </xdr:nvSpPr>
      <xdr:spPr>
        <a:xfrm rot="10800000" flipH="1">
          <a:off x="6204434" y="2686653"/>
          <a:ext cx="387681" cy="18918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512096</xdr:colOff>
      <xdr:row>4</xdr:row>
      <xdr:rowOff>160731</xdr:rowOff>
    </xdr:from>
    <xdr:to>
      <xdr:col>8</xdr:col>
      <xdr:colOff>611794</xdr:colOff>
      <xdr:row>4</xdr:row>
      <xdr:rowOff>598333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892644-28E4-5D03-31F2-4B794729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7741" y="1973554"/>
          <a:ext cx="4012118" cy="434427"/>
        </a:xfrm>
        <a:prstGeom prst="rect">
          <a:avLst/>
        </a:prstGeom>
      </xdr:spPr>
    </xdr:pic>
    <xdr:clientData/>
  </xdr:twoCellAnchor>
  <xdr:twoCellAnchor>
    <xdr:from>
      <xdr:col>5</xdr:col>
      <xdr:colOff>504827</xdr:colOff>
      <xdr:row>4</xdr:row>
      <xdr:rowOff>1</xdr:rowOff>
    </xdr:from>
    <xdr:to>
      <xdr:col>5</xdr:col>
      <xdr:colOff>752478</xdr:colOff>
      <xdr:row>4</xdr:row>
      <xdr:rowOff>194596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9ACF8C3-0E3F-43A6-95D0-F214A110C8E2}"/>
            </a:ext>
          </a:extLst>
        </xdr:cNvPr>
        <xdr:cNvSpPr/>
      </xdr:nvSpPr>
      <xdr:spPr>
        <a:xfrm rot="16200000" flipH="1">
          <a:off x="7567565" y="1786296"/>
          <a:ext cx="194595" cy="24765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997359</xdr:colOff>
      <xdr:row>12</xdr:row>
      <xdr:rowOff>59743</xdr:rowOff>
    </xdr:from>
    <xdr:to>
      <xdr:col>12</xdr:col>
      <xdr:colOff>71693</xdr:colOff>
      <xdr:row>13</xdr:row>
      <xdr:rowOff>11540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B2BF59E-1087-4278-A915-36F4ACE2A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7198" y="4627646"/>
          <a:ext cx="6673850" cy="286606"/>
        </a:xfrm>
        <a:prstGeom prst="rect">
          <a:avLst/>
        </a:prstGeom>
      </xdr:spPr>
    </xdr:pic>
    <xdr:clientData/>
  </xdr:twoCellAnchor>
  <xdr:twoCellAnchor>
    <xdr:from>
      <xdr:col>5</xdr:col>
      <xdr:colOff>300908</xdr:colOff>
      <xdr:row>13</xdr:row>
      <xdr:rowOff>111944</xdr:rowOff>
    </xdr:from>
    <xdr:to>
      <xdr:col>10</xdr:col>
      <xdr:colOff>437229</xdr:colOff>
      <xdr:row>25</xdr:row>
      <xdr:rowOff>64626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09707D6-DF29-6DBF-7534-CCF1F559D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163872</xdr:colOff>
      <xdr:row>24</xdr:row>
      <xdr:rowOff>600382</xdr:rowOff>
    </xdr:from>
    <xdr:to>
      <xdr:col>16</xdr:col>
      <xdr:colOff>54384</xdr:colOff>
      <xdr:row>25</xdr:row>
      <xdr:rowOff>304083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C1BC4B-4307-2819-DE3E-F04DA3820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31775" y="9224092"/>
          <a:ext cx="8165996" cy="359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4</xdr:row>
      <xdr:rowOff>284163</xdr:rowOff>
    </xdr:from>
    <xdr:to>
      <xdr:col>12</xdr:col>
      <xdr:colOff>232019</xdr:colOff>
      <xdr:row>20</xdr:row>
      <xdr:rowOff>195384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29CC91-1255-9EAF-6C61-4DA5CABA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ixedIncomeWithThomasLe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ixedIncomeWithThomasLee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2FC1-8916-4DAF-93C9-D8DE866E541B}">
  <dimension ref="A1:N28"/>
  <sheetViews>
    <sheetView zoomScale="93" zoomScaleNormal="93" workbookViewId="0">
      <selection activeCell="A20" sqref="A20"/>
    </sheetView>
  </sheetViews>
  <sheetFormatPr defaultRowHeight="14.5" x14ac:dyDescent="0.35"/>
  <cols>
    <col min="1" max="1" width="31.453125" customWidth="1"/>
    <col min="2" max="2" width="14.54296875" customWidth="1"/>
    <col min="3" max="3" width="32.08984375" customWidth="1"/>
    <col min="4" max="4" width="12.90625" customWidth="1"/>
    <col min="5" max="5" width="11.36328125" customWidth="1"/>
    <col min="6" max="6" width="11.08984375" customWidth="1"/>
    <col min="7" max="7" width="10.90625" customWidth="1"/>
    <col min="8" max="8" width="12.6328125" customWidth="1"/>
    <col min="9" max="9" width="10.81640625" customWidth="1"/>
    <col min="10" max="10" width="11.6328125" customWidth="1"/>
    <col min="11" max="11" width="11.453125" customWidth="1"/>
    <col min="12" max="12" width="11.08984375" customWidth="1"/>
    <col min="13" max="13" width="12.7265625" customWidth="1"/>
  </cols>
  <sheetData>
    <row r="1" spans="1:14" ht="19" customHeight="1" thickBot="1" x14ac:dyDescent="0.65">
      <c r="A1" s="16" t="s">
        <v>15</v>
      </c>
      <c r="B1" s="19">
        <v>1000</v>
      </c>
      <c r="C1" s="18" t="s">
        <v>21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/>
      <c r="J1" s="3"/>
      <c r="K1" s="3"/>
      <c r="L1" s="3"/>
      <c r="M1" s="3"/>
      <c r="N1" s="3"/>
    </row>
    <row r="2" spans="1:14" ht="26.5" customHeight="1" thickBot="1" x14ac:dyDescent="0.65">
      <c r="A2" s="16" t="s">
        <v>16</v>
      </c>
      <c r="B2" s="20">
        <v>0.04</v>
      </c>
      <c r="C2" s="18" t="s">
        <v>5</v>
      </c>
      <c r="D2" s="3">
        <f>$B$1*$B$2/$B$5</f>
        <v>40</v>
      </c>
      <c r="E2" s="3">
        <f t="shared" ref="E2:H2" si="0">$B$1*$B$2/$B$5</f>
        <v>40</v>
      </c>
      <c r="F2" s="3">
        <f t="shared" si="0"/>
        <v>40</v>
      </c>
      <c r="G2" s="3">
        <f t="shared" si="0"/>
        <v>40</v>
      </c>
      <c r="H2" s="3">
        <f>$B$1*$B$2/$B$5</f>
        <v>40</v>
      </c>
      <c r="I2" s="3"/>
      <c r="J2" s="3"/>
      <c r="K2" s="3"/>
      <c r="L2" s="3"/>
      <c r="M2" s="3"/>
      <c r="N2" s="3"/>
    </row>
    <row r="3" spans="1:14" ht="26.5" thickBot="1" x14ac:dyDescent="0.65">
      <c r="A3" s="16" t="s">
        <v>17</v>
      </c>
      <c r="B3" s="19">
        <v>5</v>
      </c>
      <c r="C3" s="18" t="s">
        <v>6</v>
      </c>
      <c r="D3" s="3">
        <v>0</v>
      </c>
      <c r="E3" s="3">
        <v>0</v>
      </c>
      <c r="F3" s="3">
        <v>0</v>
      </c>
      <c r="G3" s="3">
        <v>0</v>
      </c>
      <c r="H3" s="3">
        <f>B1</f>
        <v>1000</v>
      </c>
      <c r="I3" s="3"/>
      <c r="J3" s="3"/>
      <c r="K3" s="3"/>
      <c r="L3" s="3"/>
      <c r="M3" s="3"/>
      <c r="N3" s="3"/>
    </row>
    <row r="4" spans="1:14" ht="22.5" customHeight="1" thickBot="1" x14ac:dyDescent="0.65">
      <c r="A4" s="16" t="s">
        <v>18</v>
      </c>
      <c r="B4" s="19">
        <v>950</v>
      </c>
      <c r="C4" s="18" t="s">
        <v>14</v>
      </c>
      <c r="D4" s="3">
        <f>(D2+D3)/(1+$B$6/$B$5)^D1</f>
        <v>38.095238095238095</v>
      </c>
      <c r="E4" s="3">
        <f t="shared" ref="E4:H4" si="1">(E2+E3)/(1+$B$6/$B$5)^E1</f>
        <v>36.281179138321995</v>
      </c>
      <c r="F4" s="3">
        <f t="shared" si="1"/>
        <v>34.553503941259038</v>
      </c>
      <c r="G4" s="3">
        <f t="shared" si="1"/>
        <v>32.908098991675281</v>
      </c>
      <c r="H4" s="3">
        <f t="shared" si="1"/>
        <v>814.86721312719726</v>
      </c>
      <c r="I4" s="3"/>
      <c r="J4" s="3"/>
      <c r="K4" s="3"/>
      <c r="L4" s="3"/>
      <c r="M4" s="3"/>
      <c r="N4" s="3"/>
    </row>
    <row r="5" spans="1:14" ht="25.5" customHeight="1" thickBot="1" x14ac:dyDescent="0.65">
      <c r="A5" s="16" t="s">
        <v>19</v>
      </c>
      <c r="B5" s="19">
        <v>1</v>
      </c>
      <c r="C5" s="18" t="s">
        <v>22</v>
      </c>
      <c r="D5" s="3">
        <f>ROUND(SUM(D4:H4),2)</f>
        <v>956.71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3.5" customHeight="1" thickBot="1" x14ac:dyDescent="0.65">
      <c r="A6" s="16" t="s">
        <v>20</v>
      </c>
      <c r="B6" s="20">
        <v>0.05</v>
      </c>
      <c r="C6" s="21" t="s">
        <v>22</v>
      </c>
      <c r="D6" s="3">
        <f>SUMPRODUCT((D2:H2+D3:H3)/(1+B6)^D1:H1)</f>
        <v>956.70523329369166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3.5" customHeight="1" x14ac:dyDescent="0.6">
      <c r="A7" s="40"/>
      <c r="B7" s="33"/>
      <c r="C7" s="21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3.5" customHeight="1" x14ac:dyDescent="0.6">
      <c r="A8" s="40"/>
      <c r="B8" s="33"/>
      <c r="C8" s="17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23.5" customHeight="1" x14ac:dyDescent="0.6">
      <c r="A9" s="40"/>
      <c r="B9" s="33"/>
      <c r="C9" s="17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3.5" customHeight="1" x14ac:dyDescent="0.6">
      <c r="A10" s="40"/>
      <c r="B10" s="33"/>
      <c r="C10" s="1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3.5" customHeight="1" x14ac:dyDescent="0.6">
      <c r="A11" s="40"/>
      <c r="B11" s="33"/>
      <c r="C11" s="41" t="s">
        <v>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3.5" customHeight="1" x14ac:dyDescent="0.6">
      <c r="A12" s="40"/>
      <c r="B12" s="33"/>
      <c r="C12" s="1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3.5" customHeight="1" x14ac:dyDescent="0.6">
      <c r="A13" s="40"/>
      <c r="B13" s="33"/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23.5" customHeight="1" x14ac:dyDescent="0.6">
      <c r="A14" s="40"/>
      <c r="B14" s="33"/>
      <c r="C14" s="1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3.5" customHeight="1" x14ac:dyDescent="0.6">
      <c r="A15" s="40"/>
      <c r="B15" s="33"/>
      <c r="C15" s="1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3.5" customHeight="1" x14ac:dyDescent="0.6">
      <c r="A16" s="40"/>
      <c r="B16" s="33"/>
      <c r="C16" s="1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23.5" customHeight="1" x14ac:dyDescent="0.6">
      <c r="A17" s="40"/>
      <c r="B17" s="33"/>
      <c r="C17" s="1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23.5" customHeight="1" x14ac:dyDescent="0.6">
      <c r="A18" s="40"/>
      <c r="B18" s="33"/>
      <c r="C18" s="1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3.5" customHeight="1" x14ac:dyDescent="0.6">
      <c r="A19" s="40"/>
      <c r="B19" s="33"/>
      <c r="C19" s="1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3.5" customHeight="1" x14ac:dyDescent="0.6">
      <c r="A20" s="40"/>
      <c r="B20" s="33"/>
      <c r="C20" s="1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3.5" customHeight="1" x14ac:dyDescent="0.6">
      <c r="A21" s="32"/>
      <c r="B21" s="33"/>
      <c r="C21" s="1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6.5" thickBot="1" x14ac:dyDescent="0.65">
      <c r="A22" s="14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6.5" thickBot="1" x14ac:dyDescent="0.65">
      <c r="A23" s="13" t="s">
        <v>15</v>
      </c>
      <c r="B23" s="19">
        <v>1000</v>
      </c>
      <c r="C23" s="18" t="s">
        <v>21</v>
      </c>
      <c r="D23" s="3">
        <v>1</v>
      </c>
      <c r="E23" s="3">
        <v>2</v>
      </c>
      <c r="F23" s="3">
        <v>3</v>
      </c>
      <c r="G23" s="3">
        <v>4</v>
      </c>
      <c r="H23" s="3">
        <v>5</v>
      </c>
      <c r="I23" s="3">
        <v>6</v>
      </c>
      <c r="J23" s="3">
        <v>7</v>
      </c>
      <c r="K23" s="3">
        <v>8</v>
      </c>
      <c r="L23" s="3">
        <v>9</v>
      </c>
      <c r="M23" s="3">
        <v>10</v>
      </c>
      <c r="N23" s="3"/>
    </row>
    <row r="24" spans="1:14" ht="26.5" thickBot="1" x14ac:dyDescent="0.65">
      <c r="A24" s="13" t="s">
        <v>16</v>
      </c>
      <c r="B24" s="20">
        <v>0.04</v>
      </c>
      <c r="C24" s="18" t="s">
        <v>5</v>
      </c>
      <c r="D24" s="3">
        <f>$B23*$B24/$B27</f>
        <v>20</v>
      </c>
      <c r="E24" s="3">
        <f t="shared" ref="E24:M24" si="2">$B23*$B24/$B27</f>
        <v>20</v>
      </c>
      <c r="F24" s="3">
        <f t="shared" si="2"/>
        <v>20</v>
      </c>
      <c r="G24" s="3">
        <f t="shared" si="2"/>
        <v>20</v>
      </c>
      <c r="H24" s="3">
        <f t="shared" si="2"/>
        <v>20</v>
      </c>
      <c r="I24" s="3">
        <f t="shared" si="2"/>
        <v>20</v>
      </c>
      <c r="J24" s="3">
        <f t="shared" si="2"/>
        <v>20</v>
      </c>
      <c r="K24" s="3">
        <f t="shared" si="2"/>
        <v>20</v>
      </c>
      <c r="L24" s="3">
        <f t="shared" si="2"/>
        <v>20</v>
      </c>
      <c r="M24" s="3">
        <f t="shared" si="2"/>
        <v>20</v>
      </c>
      <c r="N24" s="3"/>
    </row>
    <row r="25" spans="1:14" ht="26.5" thickBot="1" x14ac:dyDescent="0.65">
      <c r="A25" s="13" t="s">
        <v>17</v>
      </c>
      <c r="B25" s="19">
        <v>5</v>
      </c>
      <c r="C25" s="18" t="s">
        <v>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f>$B23</f>
        <v>1000</v>
      </c>
      <c r="N25" s="3"/>
    </row>
    <row r="26" spans="1:14" ht="26.5" thickBot="1" x14ac:dyDescent="0.65">
      <c r="A26" s="13" t="s">
        <v>18</v>
      </c>
      <c r="B26" s="19">
        <v>950</v>
      </c>
      <c r="C26" s="18" t="s">
        <v>14</v>
      </c>
      <c r="D26" s="3">
        <f>(D24+D25)/(1+$B$28/$B27)^D23</f>
        <v>19.512195121951223</v>
      </c>
      <c r="E26" s="3">
        <f>(E24+E25)/(1+$B$28/$B27)^E23</f>
        <v>19.03628792385485</v>
      </c>
      <c r="F26" s="3">
        <f t="shared" ref="E26:M26" si="3">(F24+F25)/(1+$B$28/$B27)^F23</f>
        <v>18.571988218394974</v>
      </c>
      <c r="G26" s="3">
        <f t="shared" si="3"/>
        <v>18.119012895995102</v>
      </c>
      <c r="H26" s="3">
        <f t="shared" si="3"/>
        <v>17.677085752190344</v>
      </c>
      <c r="I26" s="3">
        <f t="shared" si="3"/>
        <v>17.245937319210093</v>
      </c>
      <c r="J26" s="3">
        <f t="shared" si="3"/>
        <v>16.825304701668383</v>
      </c>
      <c r="K26" s="3">
        <f t="shared" si="3"/>
        <v>16.414931416261837</v>
      </c>
      <c r="L26" s="3">
        <f t="shared" si="3"/>
        <v>16.014567235377406</v>
      </c>
      <c r="M26" s="3">
        <f t="shared" si="3"/>
        <v>796.8223697602416</v>
      </c>
      <c r="N26" s="3"/>
    </row>
    <row r="27" spans="1:14" ht="38" customHeight="1" thickBot="1" x14ac:dyDescent="0.65">
      <c r="A27" s="13" t="s">
        <v>19</v>
      </c>
      <c r="B27" s="19">
        <v>2</v>
      </c>
      <c r="C27" s="18" t="s">
        <v>22</v>
      </c>
      <c r="D27" s="3">
        <f>ROUND(SUM(D26:M26),2)</f>
        <v>956.24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6.5" thickBot="1" x14ac:dyDescent="0.65">
      <c r="A28" s="13" t="s">
        <v>20</v>
      </c>
      <c r="B28" s="20">
        <v>0.05</v>
      </c>
      <c r="C28" s="21" t="s">
        <v>22</v>
      </c>
      <c r="D28" s="3">
        <f>SUMPRODUCT(($D24:$M24+$D25:$M25)/(1+$B28/$B27)^$D23:$M23)</f>
        <v>956.23968034514587</v>
      </c>
    </row>
  </sheetData>
  <hyperlinks>
    <hyperlink ref="C11" r:id="rId1" xr:uid="{39D724F8-FB17-440E-84B8-F5CDBCAD72D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A128-81FF-4745-B71D-7EC535DB326B}">
  <dimension ref="A1:M27"/>
  <sheetViews>
    <sheetView topLeftCell="A10" zoomScale="93" zoomScaleNormal="93" workbookViewId="0">
      <pane xSplit="1" topLeftCell="C1" activePane="topRight" state="frozen"/>
      <selection activeCell="A10" sqref="A10"/>
      <selection pane="topRight" activeCell="B10" sqref="B1:B1048576"/>
    </sheetView>
  </sheetViews>
  <sheetFormatPr defaultRowHeight="14.5" x14ac:dyDescent="0.35"/>
  <cols>
    <col min="1" max="1" width="1.7265625" customWidth="1"/>
    <col min="2" max="2" width="13.6328125" customWidth="1"/>
    <col min="3" max="3" width="16.453125" customWidth="1"/>
    <col min="4" max="4" width="17.6328125" customWidth="1"/>
    <col min="5" max="5" width="12.36328125" customWidth="1"/>
    <col min="6" max="6" width="14.7265625" customWidth="1"/>
    <col min="7" max="7" width="14.26953125" customWidth="1"/>
    <col min="8" max="8" width="14.453125" customWidth="1"/>
    <col min="13" max="13" width="13.36328125" customWidth="1"/>
  </cols>
  <sheetData>
    <row r="1" spans="1:8" ht="27" customHeight="1" thickBot="1" x14ac:dyDescent="0.65">
      <c r="A1" s="37" t="s">
        <v>15</v>
      </c>
      <c r="B1" s="19">
        <v>1000</v>
      </c>
      <c r="C1" s="38" t="s">
        <v>21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ht="23" customHeight="1" thickBot="1" x14ac:dyDescent="0.65">
      <c r="A2" s="37" t="s">
        <v>16</v>
      </c>
      <c r="B2" s="20">
        <v>0.04</v>
      </c>
      <c r="C2" s="38" t="s">
        <v>5</v>
      </c>
      <c r="D2" s="3">
        <f>$B$1*$B$2/$B$5</f>
        <v>40</v>
      </c>
      <c r="E2" s="3">
        <f t="shared" ref="E2:H2" si="0">$B$1*$B$2/$B$5</f>
        <v>40</v>
      </c>
      <c r="F2" s="3">
        <f t="shared" si="0"/>
        <v>40</v>
      </c>
      <c r="G2" s="3">
        <f t="shared" si="0"/>
        <v>40</v>
      </c>
      <c r="H2" s="3">
        <f t="shared" si="0"/>
        <v>40</v>
      </c>
    </row>
    <row r="3" spans="1:8" ht="39.5" customHeight="1" thickBot="1" x14ac:dyDescent="0.65">
      <c r="A3" s="37" t="s">
        <v>17</v>
      </c>
      <c r="B3" s="19">
        <v>5</v>
      </c>
      <c r="C3" s="38" t="s">
        <v>6</v>
      </c>
      <c r="D3" s="3">
        <v>0</v>
      </c>
      <c r="E3" s="3">
        <v>0</v>
      </c>
      <c r="F3" s="3">
        <v>0</v>
      </c>
      <c r="G3" s="3">
        <v>0</v>
      </c>
      <c r="H3" s="3">
        <f>B1</f>
        <v>1000</v>
      </c>
    </row>
    <row r="4" spans="1:8" ht="53.5" customHeight="1" thickBot="1" x14ac:dyDescent="0.65">
      <c r="A4" s="37" t="s">
        <v>18</v>
      </c>
      <c r="B4" s="19">
        <v>950</v>
      </c>
      <c r="C4" s="38" t="s">
        <v>14</v>
      </c>
      <c r="D4" s="3">
        <f>(D2+D3)/(1+$B$6/$B$5)^D1</f>
        <v>38.647342995169083</v>
      </c>
      <c r="E4" s="3">
        <f t="shared" ref="E4:H4" si="1">(E2+E3)/(1+$B$6/$B$5)^E1</f>
        <v>37.340428014656119</v>
      </c>
      <c r="F4" s="3">
        <f t="shared" si="1"/>
        <v>36.077708226720894</v>
      </c>
      <c r="G4" s="3">
        <f t="shared" si="1"/>
        <v>34.857689107942896</v>
      </c>
      <c r="H4" s="3">
        <f t="shared" si="1"/>
        <v>875.65209353286514</v>
      </c>
    </row>
    <row r="5" spans="1:8" ht="52" customHeight="1" thickBot="1" x14ac:dyDescent="0.65">
      <c r="A5" s="37" t="s">
        <v>19</v>
      </c>
      <c r="B5" s="19">
        <v>1</v>
      </c>
      <c r="C5" s="38" t="s">
        <v>22</v>
      </c>
      <c r="D5" s="3">
        <f>ROUND(SUM(D4:H4),2)</f>
        <v>1022.58</v>
      </c>
      <c r="E5" s="3"/>
      <c r="F5" s="3"/>
      <c r="G5" s="3"/>
      <c r="H5" s="3"/>
    </row>
    <row r="6" spans="1:8" ht="40.5" customHeight="1" thickBot="1" x14ac:dyDescent="0.65">
      <c r="A6" s="37" t="s">
        <v>20</v>
      </c>
      <c r="B6" s="39">
        <v>3.5000000000000003E-2</v>
      </c>
      <c r="C6" s="27" t="s">
        <v>22</v>
      </c>
      <c r="D6" s="3">
        <f>SUMPRODUCT((D2:H2+D3:H3)/(1+B6)^D1:H1)</f>
        <v>1022.5752618773541</v>
      </c>
      <c r="E6" s="3"/>
      <c r="F6" s="3"/>
      <c r="G6" s="3"/>
      <c r="H6" s="3"/>
    </row>
    <row r="7" spans="1:8" ht="26" x14ac:dyDescent="0.6">
      <c r="A7" s="32"/>
      <c r="B7" s="33"/>
      <c r="C7" s="21"/>
      <c r="D7" s="3"/>
      <c r="E7" s="3"/>
      <c r="F7" s="3"/>
      <c r="G7" s="3"/>
      <c r="H7" s="3"/>
    </row>
    <row r="8" spans="1:8" ht="26" x14ac:dyDescent="0.6">
      <c r="A8" s="32"/>
      <c r="B8" s="33"/>
      <c r="C8" s="21"/>
      <c r="D8" s="3"/>
      <c r="E8" s="3"/>
      <c r="F8" s="3"/>
      <c r="G8" s="3"/>
      <c r="H8" s="3"/>
    </row>
    <row r="9" spans="1:8" ht="26" x14ac:dyDescent="0.6">
      <c r="A9" s="32"/>
      <c r="B9" s="33"/>
      <c r="C9" s="21"/>
      <c r="D9" s="3"/>
      <c r="E9" s="3"/>
      <c r="F9" s="3"/>
      <c r="G9" s="3"/>
      <c r="H9" s="3"/>
    </row>
    <row r="12" spans="1:8" ht="23.5" x14ac:dyDescent="0.55000000000000004">
      <c r="C12" s="23" t="s">
        <v>12</v>
      </c>
      <c r="D12" s="23" t="s">
        <v>13</v>
      </c>
    </row>
    <row r="13" spans="1:8" ht="26" x14ac:dyDescent="0.6">
      <c r="C13" s="7">
        <v>0.02</v>
      </c>
      <c r="D13" s="3">
        <f>ROUND(SUMPRODUCT((D$2:H$2+D$3:H$3)/(1+C13)^D$1:H$1),2)</f>
        <v>1094.27</v>
      </c>
    </row>
    <row r="14" spans="1:8" ht="26" x14ac:dyDescent="0.6">
      <c r="C14" s="7">
        <f>C13+0.005</f>
        <v>2.5000000000000001E-2</v>
      </c>
      <c r="D14" s="3">
        <f>ROUND(SUMPRODUCT((D$2:H$2+D$3:H$3)/(1+C14)^D$1:H$1),2)</f>
        <v>1069.69</v>
      </c>
    </row>
    <row r="15" spans="1:8" ht="26" x14ac:dyDescent="0.6">
      <c r="C15" s="7">
        <f t="shared" ref="C15:C25" si="2">C14+0.005</f>
        <v>3.0000000000000002E-2</v>
      </c>
      <c r="D15" s="3">
        <f t="shared" ref="D15:D25" si="3">ROUND(SUMPRODUCT((D$2:H$2+D$3:H$3)/(1+C15)^D$1:H$1),2)</f>
        <v>1045.8</v>
      </c>
    </row>
    <row r="16" spans="1:8" ht="26" x14ac:dyDescent="0.6">
      <c r="C16" s="7">
        <f t="shared" si="2"/>
        <v>3.5000000000000003E-2</v>
      </c>
      <c r="D16" s="3">
        <f t="shared" si="3"/>
        <v>1022.58</v>
      </c>
    </row>
    <row r="17" spans="3:13" ht="26" x14ac:dyDescent="0.6">
      <c r="C17" s="7">
        <f t="shared" si="2"/>
        <v>0.04</v>
      </c>
      <c r="D17" s="3">
        <f t="shared" si="3"/>
        <v>1000</v>
      </c>
      <c r="M17" s="7"/>
    </row>
    <row r="18" spans="3:13" ht="26" x14ac:dyDescent="0.6">
      <c r="C18" s="7">
        <f t="shared" si="2"/>
        <v>4.4999999999999998E-2</v>
      </c>
      <c r="D18" s="3">
        <f t="shared" si="3"/>
        <v>978.05</v>
      </c>
    </row>
    <row r="19" spans="3:13" ht="26" x14ac:dyDescent="0.6">
      <c r="C19" s="35">
        <f t="shared" si="2"/>
        <v>4.9999999999999996E-2</v>
      </c>
      <c r="D19" s="36">
        <f t="shared" si="3"/>
        <v>956.71</v>
      </c>
    </row>
    <row r="20" spans="3:13" ht="26" x14ac:dyDescent="0.6">
      <c r="C20" s="35">
        <f t="shared" si="2"/>
        <v>5.4999999999999993E-2</v>
      </c>
      <c r="D20" s="36">
        <f t="shared" si="3"/>
        <v>935.95</v>
      </c>
    </row>
    <row r="21" spans="3:13" ht="26" x14ac:dyDescent="0.6">
      <c r="C21" s="7">
        <f t="shared" si="2"/>
        <v>5.9999999999999991E-2</v>
      </c>
      <c r="D21" s="3">
        <f t="shared" si="3"/>
        <v>915.75</v>
      </c>
    </row>
    <row r="22" spans="3:13" ht="26" x14ac:dyDescent="0.6">
      <c r="C22" s="7">
        <f t="shared" si="2"/>
        <v>6.4999999999999988E-2</v>
      </c>
      <c r="D22" s="3">
        <f t="shared" si="3"/>
        <v>896.11</v>
      </c>
    </row>
    <row r="23" spans="3:13" ht="26" x14ac:dyDescent="0.6">
      <c r="C23" s="7">
        <f t="shared" si="2"/>
        <v>6.9999999999999993E-2</v>
      </c>
      <c r="D23" s="3">
        <f t="shared" si="3"/>
        <v>876.99</v>
      </c>
    </row>
    <row r="24" spans="3:13" ht="26" x14ac:dyDescent="0.6">
      <c r="C24" s="7">
        <f t="shared" si="2"/>
        <v>7.4999999999999997E-2</v>
      </c>
      <c r="D24" s="3">
        <f t="shared" si="3"/>
        <v>858.39</v>
      </c>
    </row>
    <row r="25" spans="3:13" ht="51.5" customHeight="1" x14ac:dyDescent="0.6">
      <c r="C25" s="7">
        <f t="shared" si="2"/>
        <v>0.08</v>
      </c>
      <c r="D25" s="3">
        <f t="shared" si="3"/>
        <v>840.29</v>
      </c>
    </row>
    <row r="26" spans="3:13" ht="26" x14ac:dyDescent="0.6">
      <c r="E26" s="7">
        <f>ROUND($C$19+($D$19-$B$4)/($D$19-$D$20)*($C$20-$C$19),4)</f>
        <v>5.16E-2</v>
      </c>
    </row>
    <row r="27" spans="3:13" ht="26" x14ac:dyDescent="0.6">
      <c r="F27" s="3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8D9A-B419-4FD6-9595-290FF8749FAB}">
  <dimension ref="A1:M20"/>
  <sheetViews>
    <sheetView tabSelected="1" zoomScale="214" zoomScaleNormal="214" workbookViewId="0">
      <selection activeCell="B6" sqref="B6"/>
    </sheetView>
  </sheetViews>
  <sheetFormatPr defaultRowHeight="14.5" x14ac:dyDescent="0.35"/>
  <cols>
    <col min="1" max="1" width="24.08984375" customWidth="1"/>
    <col min="2" max="2" width="10.26953125" customWidth="1"/>
    <col min="3" max="3" width="22.7265625" customWidth="1"/>
    <col min="4" max="4" width="7" customWidth="1"/>
    <col min="5" max="5" width="6.26953125" customWidth="1"/>
    <col min="6" max="6" width="6.7265625" customWidth="1"/>
    <col min="7" max="7" width="6.81640625" customWidth="1"/>
    <col min="8" max="8" width="7.7265625" customWidth="1"/>
    <col min="9" max="9" width="10.26953125" customWidth="1"/>
    <col min="10" max="10" width="10.6328125" customWidth="1"/>
    <col min="11" max="11" width="10.54296875" customWidth="1"/>
    <col min="12" max="12" width="9.7265625" customWidth="1"/>
    <col min="13" max="13" width="12.6328125" customWidth="1"/>
  </cols>
  <sheetData>
    <row r="1" spans="1:13" ht="16" thickBot="1" x14ac:dyDescent="0.4">
      <c r="A1" s="42" t="s">
        <v>15</v>
      </c>
      <c r="B1" s="43">
        <v>1000</v>
      </c>
      <c r="C1" s="44" t="s">
        <v>21</v>
      </c>
      <c r="D1" s="45">
        <v>1</v>
      </c>
      <c r="E1" s="45">
        <v>2</v>
      </c>
      <c r="F1" s="45">
        <v>3</v>
      </c>
      <c r="G1" s="45">
        <v>4</v>
      </c>
      <c r="H1" s="45">
        <v>5</v>
      </c>
    </row>
    <row r="2" spans="1:13" ht="16" thickBot="1" x14ac:dyDescent="0.4">
      <c r="A2" s="42" t="s">
        <v>16</v>
      </c>
      <c r="B2" s="46">
        <v>0.04</v>
      </c>
      <c r="C2" s="44" t="s">
        <v>5</v>
      </c>
      <c r="D2" s="45">
        <f>$B1*$B2/$B5</f>
        <v>40</v>
      </c>
      <c r="E2" s="45">
        <f t="shared" ref="E2:H2" si="0">$B1*$B2/$B5</f>
        <v>40</v>
      </c>
      <c r="F2" s="45">
        <f t="shared" si="0"/>
        <v>40</v>
      </c>
      <c r="G2" s="45">
        <f t="shared" si="0"/>
        <v>40</v>
      </c>
      <c r="H2" s="45">
        <f t="shared" si="0"/>
        <v>40</v>
      </c>
    </row>
    <row r="3" spans="1:13" ht="16" thickBot="1" x14ac:dyDescent="0.4">
      <c r="A3" s="42" t="s">
        <v>17</v>
      </c>
      <c r="B3" s="43">
        <v>5</v>
      </c>
      <c r="C3" s="44" t="s">
        <v>6</v>
      </c>
      <c r="D3" s="45">
        <v>0</v>
      </c>
      <c r="E3" s="45">
        <v>0</v>
      </c>
      <c r="F3" s="45">
        <v>0</v>
      </c>
      <c r="G3" s="45">
        <v>0</v>
      </c>
      <c r="H3" s="45">
        <f>B1</f>
        <v>1000</v>
      </c>
    </row>
    <row r="4" spans="1:13" ht="16" thickBot="1" x14ac:dyDescent="0.4">
      <c r="A4" s="42" t="s">
        <v>18</v>
      </c>
      <c r="B4" s="43">
        <v>950</v>
      </c>
      <c r="C4" s="44" t="s">
        <v>14</v>
      </c>
      <c r="D4" s="45">
        <f>(D2+D3)/(1+$B6/$B5)^D1</f>
        <v>38.037279144472713</v>
      </c>
      <c r="E4" s="45">
        <f>(E2+E3)/(1+$B6/$B5)^E1</f>
        <v>36.170865117863464</v>
      </c>
      <c r="F4" s="45">
        <f t="shared" ref="F4:G4" si="1">(F2+F3)/(1+$B6/$B5)^F1</f>
        <v>34.396032334631087</v>
      </c>
      <c r="G4" s="45">
        <f t="shared" si="1"/>
        <v>32.708287084366809</v>
      </c>
      <c r="H4" s="45">
        <f>(H2+H3)/(1+$B6/$B5)^H1</f>
        <v>808.68726000764764</v>
      </c>
    </row>
    <row r="5" spans="1:13" ht="16" thickBot="1" x14ac:dyDescent="0.4">
      <c r="A5" s="42" t="s">
        <v>19</v>
      </c>
      <c r="B5" s="43">
        <v>1</v>
      </c>
      <c r="C5" s="44" t="s">
        <v>22</v>
      </c>
      <c r="D5" s="45">
        <f>ROUND(SUM(D4:H4),2)</f>
        <v>950</v>
      </c>
      <c r="E5" s="45"/>
      <c r="F5" s="45"/>
      <c r="G5" s="45"/>
      <c r="H5" s="45"/>
    </row>
    <row r="6" spans="1:13" ht="16" thickBot="1" x14ac:dyDescent="0.4">
      <c r="A6" s="42" t="s">
        <v>20</v>
      </c>
      <c r="B6" s="47">
        <v>5.1599927746474962E-2</v>
      </c>
      <c r="C6" s="48" t="s">
        <v>22</v>
      </c>
      <c r="D6" s="45">
        <f>SUMPRODUCT((D2:H2+D3:H3)/(1+B6)^D1:H1)</f>
        <v>949.9997236889817</v>
      </c>
      <c r="E6" s="45"/>
      <c r="F6" s="45"/>
      <c r="G6" s="45"/>
      <c r="H6" s="45"/>
    </row>
    <row r="7" spans="1:13" ht="15.5" x14ac:dyDescent="0.35">
      <c r="A7" s="45"/>
      <c r="B7" s="45"/>
      <c r="C7" s="49" t="s">
        <v>10</v>
      </c>
      <c r="D7" s="45">
        <f>ROUND(D6-B4,3)</f>
        <v>0</v>
      </c>
      <c r="E7" s="45"/>
      <c r="F7" s="45"/>
      <c r="G7" s="45"/>
      <c r="H7" s="45"/>
    </row>
    <row r="8" spans="1:13" ht="31" x14ac:dyDescent="0.7">
      <c r="A8" s="12"/>
      <c r="B8" s="12"/>
      <c r="C8" s="31"/>
      <c r="D8" s="12"/>
      <c r="E8" s="12"/>
      <c r="F8" s="12"/>
      <c r="G8" s="12"/>
      <c r="H8" s="12"/>
    </row>
    <row r="9" spans="1:13" ht="31" x14ac:dyDescent="0.7">
      <c r="A9" s="50" t="s">
        <v>24</v>
      </c>
      <c r="B9" s="12"/>
      <c r="C9" s="12"/>
      <c r="D9" s="12"/>
      <c r="E9" s="12"/>
      <c r="F9" s="12"/>
      <c r="G9" s="12"/>
      <c r="H9" s="12"/>
    </row>
    <row r="11" spans="1:13" ht="23.5" x14ac:dyDescent="0.55000000000000004">
      <c r="C11" s="30"/>
      <c r="D11" s="15"/>
    </row>
    <row r="14" spans="1:13" ht="26" x14ac:dyDescent="0.6">
      <c r="A14" s="27" t="s">
        <v>15</v>
      </c>
      <c r="B14" s="3">
        <v>1000</v>
      </c>
      <c r="C14" s="27" t="s">
        <v>21</v>
      </c>
      <c r="D14" s="3">
        <v>1</v>
      </c>
      <c r="E14" s="3">
        <v>2</v>
      </c>
      <c r="F14" s="3">
        <v>3</v>
      </c>
      <c r="G14" s="3">
        <v>4</v>
      </c>
      <c r="H14" s="3">
        <v>5</v>
      </c>
      <c r="I14" s="3">
        <v>6</v>
      </c>
      <c r="J14" s="3">
        <v>7</v>
      </c>
      <c r="K14" s="3">
        <v>8</v>
      </c>
      <c r="L14" s="3">
        <v>9</v>
      </c>
      <c r="M14" s="3">
        <v>10</v>
      </c>
    </row>
    <row r="15" spans="1:13" ht="26" x14ac:dyDescent="0.6">
      <c r="A15" s="27" t="s">
        <v>16</v>
      </c>
      <c r="B15" s="3">
        <v>0.04</v>
      </c>
      <c r="C15" s="27" t="s">
        <v>5</v>
      </c>
      <c r="D15" s="3">
        <f>$B14*$B15/$B18</f>
        <v>20</v>
      </c>
      <c r="E15" s="3">
        <f>$B14*$B15/$B18</f>
        <v>20</v>
      </c>
      <c r="F15" s="3">
        <f>$B14*$B15/$B18</f>
        <v>20</v>
      </c>
      <c r="G15" s="3">
        <f>$B14*$B15/$B18</f>
        <v>20</v>
      </c>
      <c r="H15" s="3">
        <f>$B14*$B15/$B18</f>
        <v>20</v>
      </c>
      <c r="I15" s="3">
        <f>$B14*$B15/$B18</f>
        <v>20</v>
      </c>
      <c r="J15" s="3">
        <f>$B14*$B15/$B18</f>
        <v>20</v>
      </c>
      <c r="K15" s="3">
        <f>$B14*$B15/$B18</f>
        <v>20</v>
      </c>
      <c r="L15" s="3">
        <f>$B14*$B15/$B18</f>
        <v>20</v>
      </c>
      <c r="M15" s="3">
        <f>$B14*$B15/$B18</f>
        <v>20</v>
      </c>
    </row>
    <row r="16" spans="1:13" ht="26" x14ac:dyDescent="0.6">
      <c r="A16" s="24" t="s">
        <v>17</v>
      </c>
      <c r="B16" s="15">
        <v>5</v>
      </c>
      <c r="C16" s="23" t="s">
        <v>6</v>
      </c>
      <c r="D16" s="15"/>
      <c r="E16" s="15"/>
      <c r="F16" s="15"/>
      <c r="G16" s="15"/>
      <c r="H16" s="15"/>
      <c r="I16" s="15"/>
      <c r="J16" s="15"/>
      <c r="K16" s="15"/>
      <c r="L16" s="15"/>
      <c r="M16" s="3">
        <f>$B14</f>
        <v>1000</v>
      </c>
    </row>
    <row r="17" spans="1:13" ht="30" customHeight="1" x14ac:dyDescent="0.6">
      <c r="A17" s="26" t="s">
        <v>18</v>
      </c>
      <c r="B17" s="15">
        <v>950</v>
      </c>
      <c r="C17" s="23" t="s">
        <v>14</v>
      </c>
      <c r="D17" s="15">
        <f>ROUND((D15+D16)/(1+$B19/$B18)^D14,2)</f>
        <v>19.5</v>
      </c>
      <c r="E17" s="15">
        <f>(E15+E16)/(1+$B19/$B18)^E14</f>
        <v>19.009025583269153</v>
      </c>
      <c r="F17" s="15">
        <f>(F15+F16)/(1+$B19/$B18)^F14</f>
        <v>18.532106397683815</v>
      </c>
      <c r="G17" s="15">
        <f>(G15+G16)/(1+$B19/$B18)^G14</f>
        <v>18.067152681269054</v>
      </c>
      <c r="H17" s="15">
        <f>(H15+H16)/(1+$B19/$B18)^H14</f>
        <v>17.613864231271876</v>
      </c>
      <c r="I17" s="15">
        <f>(I15+I16)/(1+$B19/$B18)^I14</f>
        <v>17.171948376753665</v>
      </c>
      <c r="J17" s="15">
        <f>(J15+J16)/(1+$B19/$B18)^J14</f>
        <v>16.741119789623827</v>
      </c>
      <c r="K17" s="15">
        <f>(K15+K16)/(1+$B19/$B18)^K14</f>
        <v>16.321100300414379</v>
      </c>
      <c r="L17" s="15">
        <f>(L15+L16)/(1+$B19/$B18)^L14</f>
        <v>15.911618718676637</v>
      </c>
      <c r="M17" s="3">
        <f>(M15+M16)/(1+$B19/$B18)^M14</f>
        <v>791.13294355208097</v>
      </c>
    </row>
    <row r="18" spans="1:13" ht="47.5" x14ac:dyDescent="0.6">
      <c r="A18" s="26" t="s">
        <v>19</v>
      </c>
      <c r="B18" s="15">
        <v>2</v>
      </c>
      <c r="C18" s="25" t="s">
        <v>22</v>
      </c>
      <c r="D18" s="15">
        <f>ROUND(SUM(D17:M17),2)</f>
        <v>950</v>
      </c>
      <c r="E18" s="15"/>
      <c r="F18" s="15"/>
      <c r="G18" s="15"/>
      <c r="H18" s="15"/>
      <c r="I18" s="15"/>
      <c r="J18" s="15"/>
      <c r="K18" s="15"/>
      <c r="L18" s="15"/>
      <c r="M18" s="3"/>
    </row>
    <row r="19" spans="1:13" ht="46" customHeight="1" x14ac:dyDescent="0.6">
      <c r="A19" s="26" t="s">
        <v>11</v>
      </c>
      <c r="B19" s="29">
        <v>5.1469506525706817E-2</v>
      </c>
      <c r="C19" s="25" t="s">
        <v>22</v>
      </c>
      <c r="D19" s="15">
        <f>ROUND(SUMPRODUCT(($D15:$M15+$D16:$M16)/(1+$B19/$B18)^$D14:$M14),2)</f>
        <v>950</v>
      </c>
      <c r="E19" s="15"/>
      <c r="F19" s="15"/>
      <c r="G19" s="15"/>
      <c r="H19" s="15"/>
      <c r="I19" s="15"/>
      <c r="J19" s="15"/>
      <c r="K19" s="15"/>
      <c r="L19" s="15"/>
      <c r="M19" s="3"/>
    </row>
    <row r="20" spans="1:13" ht="23.5" x14ac:dyDescent="0.55000000000000004">
      <c r="C20" s="28" t="s">
        <v>10</v>
      </c>
      <c r="D20" s="15">
        <f>D19-B17</f>
        <v>0</v>
      </c>
    </row>
  </sheetData>
  <hyperlinks>
    <hyperlink ref="A9" r:id="rId1" xr:uid="{EB62DA30-41A4-4C0F-83C2-FE243EEA68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E88A-28F9-4538-814C-BAC51AD428D3}">
  <dimension ref="A1:M21"/>
  <sheetViews>
    <sheetView zoomScale="78" zoomScaleNormal="78" workbookViewId="0">
      <selection activeCell="D9" sqref="D9"/>
    </sheetView>
  </sheetViews>
  <sheetFormatPr defaultRowHeight="14.5" x14ac:dyDescent="0.35"/>
  <cols>
    <col min="1" max="1" width="30.08984375" customWidth="1"/>
    <col min="2" max="2" width="14" customWidth="1"/>
    <col min="3" max="3" width="23.1796875" customWidth="1"/>
    <col min="4" max="4" width="15.6328125" customWidth="1"/>
    <col min="5" max="5" width="10.54296875" customWidth="1"/>
    <col min="6" max="6" width="9.1796875" customWidth="1"/>
    <col min="7" max="7" width="9.26953125" customWidth="1"/>
    <col min="8" max="8" width="10.08984375" customWidth="1"/>
    <col min="9" max="9" width="9.7265625" customWidth="1"/>
    <col min="10" max="10" width="9.54296875" customWidth="1"/>
    <col min="11" max="11" width="10.54296875" customWidth="1"/>
    <col min="12" max="12" width="10.1796875" customWidth="1"/>
    <col min="13" max="13" width="12.1796875" customWidth="1"/>
  </cols>
  <sheetData>
    <row r="1" spans="1:13" ht="26" x14ac:dyDescent="0.6">
      <c r="A1" s="27" t="s">
        <v>15</v>
      </c>
      <c r="B1" s="3">
        <v>1000</v>
      </c>
      <c r="C1" s="27" t="s">
        <v>21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</row>
    <row r="2" spans="1:13" ht="26" x14ac:dyDescent="0.6">
      <c r="A2" s="27" t="s">
        <v>16</v>
      </c>
      <c r="B2" s="3">
        <v>0.04</v>
      </c>
      <c r="C2" s="27" t="s">
        <v>5</v>
      </c>
      <c r="D2" s="3">
        <f>$B1*$B2/$B5</f>
        <v>20</v>
      </c>
      <c r="E2" s="3">
        <f t="shared" ref="E2:M2" si="0">$B1*$B2/$B5</f>
        <v>20</v>
      </c>
      <c r="F2" s="3">
        <f t="shared" si="0"/>
        <v>20</v>
      </c>
      <c r="G2" s="3">
        <f t="shared" si="0"/>
        <v>20</v>
      </c>
      <c r="H2" s="3">
        <f t="shared" si="0"/>
        <v>20</v>
      </c>
      <c r="I2" s="3">
        <f t="shared" si="0"/>
        <v>20</v>
      </c>
      <c r="J2" s="3">
        <f t="shared" si="0"/>
        <v>20</v>
      </c>
      <c r="K2" s="3">
        <f t="shared" si="0"/>
        <v>20</v>
      </c>
      <c r="L2" s="3">
        <f t="shared" si="0"/>
        <v>20</v>
      </c>
      <c r="M2" s="3">
        <f t="shared" si="0"/>
        <v>20</v>
      </c>
    </row>
    <row r="3" spans="1:13" ht="26" x14ac:dyDescent="0.6">
      <c r="A3" s="24" t="s">
        <v>17</v>
      </c>
      <c r="B3" s="15">
        <v>5</v>
      </c>
      <c r="C3" s="23" t="s">
        <v>6</v>
      </c>
      <c r="D3" s="15"/>
      <c r="E3" s="15"/>
      <c r="F3" s="15"/>
      <c r="G3" s="15"/>
      <c r="H3" s="15"/>
      <c r="I3" s="15"/>
      <c r="J3" s="15"/>
      <c r="K3" s="15"/>
      <c r="L3" s="15"/>
      <c r="M3" s="3">
        <f>$B1</f>
        <v>1000</v>
      </c>
    </row>
    <row r="4" spans="1:13" ht="43" x14ac:dyDescent="0.6">
      <c r="A4" s="26" t="s">
        <v>18</v>
      </c>
      <c r="B4" s="15">
        <v>950</v>
      </c>
      <c r="C4" s="23" t="s">
        <v>14</v>
      </c>
      <c r="D4" s="15">
        <f>ROUND((D2+D3)/(1+$B6/$B5)^D1,2)</f>
        <v>19.510000000000002</v>
      </c>
      <c r="E4" s="15">
        <f t="shared" ref="E4:M4" si="1">(E2+E3)/(1+$B6/$B5)^E1</f>
        <v>19.03628792385485</v>
      </c>
      <c r="F4" s="15">
        <f t="shared" si="1"/>
        <v>18.571988218394974</v>
      </c>
      <c r="G4" s="15">
        <f t="shared" si="1"/>
        <v>18.119012895995102</v>
      </c>
      <c r="H4" s="15">
        <f t="shared" si="1"/>
        <v>17.677085752190344</v>
      </c>
      <c r="I4" s="15">
        <f t="shared" si="1"/>
        <v>17.245937319210093</v>
      </c>
      <c r="J4" s="15">
        <f t="shared" si="1"/>
        <v>16.825304701668383</v>
      </c>
      <c r="K4" s="15">
        <f t="shared" si="1"/>
        <v>16.414931416261837</v>
      </c>
      <c r="L4" s="15">
        <f t="shared" si="1"/>
        <v>16.014567235377406</v>
      </c>
      <c r="M4" s="3">
        <f t="shared" si="1"/>
        <v>796.8223697602416</v>
      </c>
    </row>
    <row r="5" spans="1:13" ht="47.5" x14ac:dyDescent="0.6">
      <c r="A5" s="26" t="s">
        <v>19</v>
      </c>
      <c r="B5" s="15">
        <v>2</v>
      </c>
      <c r="C5" s="25" t="s">
        <v>22</v>
      </c>
      <c r="D5" s="15">
        <f>ROUND(SUM(D4:M4),2)</f>
        <v>956.24</v>
      </c>
      <c r="E5" s="15"/>
      <c r="F5" s="15"/>
      <c r="G5" s="15"/>
      <c r="H5" s="15"/>
      <c r="I5" s="15"/>
      <c r="J5" s="15"/>
      <c r="K5" s="15"/>
      <c r="L5" s="15"/>
      <c r="M5" s="3"/>
    </row>
    <row r="6" spans="1:13" ht="47.5" x14ac:dyDescent="0.6">
      <c r="A6" s="26" t="s">
        <v>20</v>
      </c>
      <c r="B6" s="15">
        <v>0.05</v>
      </c>
      <c r="C6" s="25" t="s">
        <v>22</v>
      </c>
      <c r="D6" s="15">
        <f>ROUND(SUMPRODUCT(($D2:$M2+$D3:$M3)/(1+$B6/$B5)^$D1:$M1),2)</f>
        <v>956.24</v>
      </c>
      <c r="E6" s="15"/>
      <c r="F6" s="15"/>
      <c r="G6" s="15"/>
      <c r="H6" s="15"/>
      <c r="I6" s="15"/>
      <c r="J6" s="15"/>
      <c r="K6" s="15"/>
      <c r="L6" s="15"/>
      <c r="M6" s="3"/>
    </row>
    <row r="7" spans="1:13" ht="23.5" x14ac:dyDescent="0.5500000000000000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23.5" x14ac:dyDescent="0.55000000000000004">
      <c r="A8" s="15"/>
      <c r="B8" s="15"/>
      <c r="C8" s="23" t="s">
        <v>12</v>
      </c>
      <c r="D8" s="23" t="s">
        <v>13</v>
      </c>
      <c r="E8" s="15"/>
      <c r="F8" s="15"/>
      <c r="G8" s="15"/>
      <c r="H8" s="15"/>
      <c r="I8" s="15"/>
      <c r="J8" s="15"/>
      <c r="K8" s="15"/>
      <c r="L8" s="15"/>
    </row>
    <row r="9" spans="1:13" ht="23.5" x14ac:dyDescent="0.55000000000000004">
      <c r="A9" s="15"/>
      <c r="B9" s="15"/>
      <c r="C9" s="22">
        <v>0.02</v>
      </c>
      <c r="D9" s="15">
        <f>ROUND(SUMPRODUCT(($D$2:$M$2+$D$3:$M$3)/(1+C9/$B$5)^$D$1:$M$1),2)</f>
        <v>1094.71</v>
      </c>
      <c r="E9" s="15"/>
      <c r="F9" s="15"/>
      <c r="G9" s="15"/>
      <c r="H9" s="15"/>
      <c r="I9" s="15"/>
      <c r="J9" s="15"/>
      <c r="K9" s="15"/>
      <c r="L9" s="15"/>
    </row>
    <row r="10" spans="1:13" ht="23.5" x14ac:dyDescent="0.55000000000000004">
      <c r="A10" s="15"/>
      <c r="B10" s="15"/>
      <c r="C10" s="22">
        <f>C9+0.005</f>
        <v>2.5000000000000001E-2</v>
      </c>
      <c r="D10" s="15">
        <f t="shared" ref="D10:D21" si="2">ROUND(SUMPRODUCT(($D$2:$M$2+$D$3:$M$3)/(1+C10/$B$5)^$D$1:$M$1),2)</f>
        <v>1070.0899999999999</v>
      </c>
      <c r="E10" s="15"/>
      <c r="F10" s="15"/>
      <c r="G10" s="15"/>
      <c r="H10" s="15"/>
      <c r="I10" s="15"/>
      <c r="J10" s="15"/>
      <c r="K10" s="15"/>
      <c r="L10" s="15"/>
    </row>
    <row r="11" spans="1:13" ht="23.5" x14ac:dyDescent="0.55000000000000004">
      <c r="A11" s="15"/>
      <c r="B11" s="15"/>
      <c r="C11" s="22">
        <f t="shared" ref="C11:C21" si="3">C10+0.005</f>
        <v>3.0000000000000002E-2</v>
      </c>
      <c r="D11" s="15">
        <f t="shared" si="2"/>
        <v>1046.1099999999999</v>
      </c>
      <c r="E11" s="15"/>
      <c r="F11" s="15"/>
      <c r="G11" s="15"/>
      <c r="H11" s="15"/>
      <c r="I11" s="15"/>
      <c r="J11" s="15"/>
      <c r="K11" s="15"/>
      <c r="L11" s="15"/>
    </row>
    <row r="12" spans="1:13" ht="23.5" x14ac:dyDescent="0.55000000000000004">
      <c r="A12" s="15"/>
      <c r="B12" s="15"/>
      <c r="C12" s="22">
        <f t="shared" si="3"/>
        <v>3.5000000000000003E-2</v>
      </c>
      <c r="D12" s="15">
        <f>ROUND(SUMPRODUCT(($D$2:$M$2+$D$3:$M$3)/(1+C12/$B$5)^$D$1:$M$1),2)</f>
        <v>1022.75</v>
      </c>
      <c r="E12" s="15"/>
      <c r="F12" s="15"/>
      <c r="G12" s="15"/>
      <c r="H12" s="15"/>
      <c r="I12" s="15"/>
      <c r="J12" s="15"/>
      <c r="K12" s="15"/>
      <c r="L12" s="15"/>
    </row>
    <row r="13" spans="1:13" ht="23.5" x14ac:dyDescent="0.55000000000000004">
      <c r="A13" s="15"/>
      <c r="B13" s="15"/>
      <c r="C13" s="22">
        <f t="shared" si="3"/>
        <v>0.04</v>
      </c>
      <c r="D13" s="15">
        <f t="shared" si="2"/>
        <v>1000</v>
      </c>
      <c r="E13" s="15"/>
      <c r="F13" s="15"/>
      <c r="G13" s="15"/>
      <c r="H13" s="15"/>
      <c r="I13" s="15"/>
      <c r="J13" s="15"/>
      <c r="K13" s="15"/>
      <c r="L13" s="15"/>
    </row>
    <row r="14" spans="1:13" ht="23.5" x14ac:dyDescent="0.55000000000000004">
      <c r="A14" s="15"/>
      <c r="B14" s="15"/>
      <c r="C14" s="22">
        <f t="shared" si="3"/>
        <v>4.4999999999999998E-2</v>
      </c>
      <c r="D14" s="15">
        <f t="shared" si="2"/>
        <v>977.83</v>
      </c>
      <c r="E14" s="15"/>
      <c r="F14" s="15"/>
      <c r="G14" s="15"/>
      <c r="H14" s="15"/>
      <c r="I14" s="15"/>
      <c r="J14" s="15"/>
      <c r="K14" s="15"/>
      <c r="L14" s="15"/>
    </row>
    <row r="15" spans="1:13" ht="23.5" x14ac:dyDescent="0.55000000000000004">
      <c r="A15" s="15"/>
      <c r="B15" s="15"/>
      <c r="C15" s="22">
        <f t="shared" si="3"/>
        <v>4.9999999999999996E-2</v>
      </c>
      <c r="D15" s="15">
        <f t="shared" si="2"/>
        <v>956.24</v>
      </c>
      <c r="E15" s="15"/>
      <c r="F15" s="15"/>
      <c r="G15" s="15"/>
      <c r="H15" s="15"/>
      <c r="I15" s="15"/>
      <c r="J15" s="15"/>
      <c r="K15" s="15"/>
      <c r="L15" s="15"/>
    </row>
    <row r="16" spans="1:13" ht="23.5" x14ac:dyDescent="0.55000000000000004">
      <c r="A16" s="15"/>
      <c r="B16" s="15"/>
      <c r="C16" s="22">
        <f t="shared" si="3"/>
        <v>5.4999999999999993E-2</v>
      </c>
      <c r="D16" s="15">
        <f t="shared" si="2"/>
        <v>935.2</v>
      </c>
      <c r="E16" s="15"/>
      <c r="F16" s="15"/>
      <c r="G16" s="15"/>
      <c r="H16" s="15"/>
      <c r="I16" s="15"/>
      <c r="J16" s="15"/>
      <c r="K16" s="15"/>
      <c r="L16" s="15"/>
    </row>
    <row r="17" spans="1:12" ht="23.5" x14ac:dyDescent="0.55000000000000004">
      <c r="A17" s="15"/>
      <c r="B17" s="15"/>
      <c r="C17" s="22">
        <f t="shared" si="3"/>
        <v>5.9999999999999991E-2</v>
      </c>
      <c r="D17" s="15">
        <f t="shared" si="2"/>
        <v>914.7</v>
      </c>
      <c r="E17" s="15"/>
      <c r="F17" s="15"/>
      <c r="G17" s="15"/>
      <c r="H17" s="15"/>
      <c r="I17" s="15"/>
      <c r="J17" s="15"/>
      <c r="K17" s="15"/>
      <c r="L17" s="15"/>
    </row>
    <row r="18" spans="1:12" ht="23.5" x14ac:dyDescent="0.55000000000000004">
      <c r="A18" s="15"/>
      <c r="B18" s="15"/>
      <c r="C18" s="22">
        <f t="shared" si="3"/>
        <v>6.4999999999999988E-2</v>
      </c>
      <c r="D18" s="15">
        <f t="shared" si="2"/>
        <v>894.72</v>
      </c>
      <c r="E18" s="15"/>
      <c r="F18" s="15"/>
      <c r="G18" s="15"/>
      <c r="H18" s="15"/>
      <c r="I18" s="15"/>
      <c r="J18" s="15"/>
      <c r="K18" s="15"/>
      <c r="L18" s="15"/>
    </row>
    <row r="19" spans="1:12" ht="23.5" x14ac:dyDescent="0.55000000000000004">
      <c r="A19" s="15"/>
      <c r="B19" s="15"/>
      <c r="C19" s="22">
        <f t="shared" si="3"/>
        <v>6.9999999999999993E-2</v>
      </c>
      <c r="D19" s="15">
        <f t="shared" si="2"/>
        <v>875.25</v>
      </c>
      <c r="E19" s="15"/>
      <c r="F19" s="15"/>
      <c r="G19" s="15"/>
      <c r="H19" s="15"/>
      <c r="I19" s="15"/>
      <c r="J19" s="15"/>
      <c r="K19" s="15"/>
      <c r="L19" s="15"/>
    </row>
    <row r="20" spans="1:12" ht="23.5" x14ac:dyDescent="0.55000000000000004">
      <c r="A20" s="15"/>
      <c r="B20" s="15"/>
      <c r="C20" s="22">
        <f t="shared" si="3"/>
        <v>7.4999999999999997E-2</v>
      </c>
      <c r="D20" s="15">
        <f t="shared" si="2"/>
        <v>856.28</v>
      </c>
      <c r="E20" s="15"/>
      <c r="F20" s="15"/>
      <c r="G20" s="15"/>
      <c r="H20" s="15"/>
      <c r="I20" s="15"/>
      <c r="J20" s="15"/>
      <c r="K20" s="15"/>
      <c r="L20" s="15"/>
    </row>
    <row r="21" spans="1:12" ht="23.5" x14ac:dyDescent="0.55000000000000004">
      <c r="A21" s="15"/>
      <c r="B21" s="15"/>
      <c r="C21" s="22">
        <f t="shared" si="3"/>
        <v>0.08</v>
      </c>
      <c r="D21" s="15">
        <f t="shared" si="2"/>
        <v>837.78</v>
      </c>
      <c r="E21" s="15"/>
      <c r="F21" s="15"/>
      <c r="G21" s="15"/>
      <c r="H21" s="15"/>
      <c r="I21" s="15"/>
      <c r="J21" s="15"/>
      <c r="K21" s="15"/>
      <c r="L21" s="15"/>
    </row>
  </sheetData>
  <pageMargins left="0.7" right="0.7" top="0.75" bottom="0.75" header="0.3" footer="0.3"/>
  <pageSetup scale="13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BAE7-8CFE-47C0-A0AB-9099621C207B}">
  <dimension ref="A1:O7"/>
  <sheetViews>
    <sheetView workbookViewId="0">
      <selection sqref="A1:XFD1048576"/>
    </sheetView>
  </sheetViews>
  <sheetFormatPr defaultRowHeight="14.5" x14ac:dyDescent="0.35"/>
  <cols>
    <col min="1" max="1" width="29.90625" customWidth="1"/>
    <col min="2" max="2" width="16" customWidth="1"/>
    <col min="3" max="3" width="4.26953125" customWidth="1"/>
    <col min="4" max="4" width="20" customWidth="1"/>
    <col min="5" max="5" width="5.26953125" customWidth="1"/>
    <col min="6" max="6" width="11.7265625" customWidth="1"/>
    <col min="7" max="7" width="13.08984375" customWidth="1"/>
    <col min="8" max="14" width="11.1796875" bestFit="1" customWidth="1"/>
    <col min="15" max="15" width="15.81640625" bestFit="1" customWidth="1"/>
  </cols>
  <sheetData>
    <row r="1" spans="1:15" ht="26" x14ac:dyDescent="0.6">
      <c r="A1" s="2" t="s">
        <v>0</v>
      </c>
      <c r="B1" s="9">
        <v>4.4505000000000003E-2</v>
      </c>
      <c r="C1" s="3"/>
      <c r="D1" s="2" t="s">
        <v>4</v>
      </c>
      <c r="E1" s="3">
        <v>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</row>
    <row r="2" spans="1:15" ht="26" x14ac:dyDescent="0.6">
      <c r="A2" s="2" t="s">
        <v>1</v>
      </c>
      <c r="B2" s="4">
        <v>1000</v>
      </c>
      <c r="C2" s="4"/>
      <c r="D2" s="5" t="s">
        <v>5</v>
      </c>
      <c r="E2" s="3"/>
      <c r="F2" s="6">
        <f>$B$2*B3/2</f>
        <v>20</v>
      </c>
      <c r="G2" s="6">
        <f>F2</f>
        <v>20</v>
      </c>
      <c r="H2" s="6">
        <f t="shared" ref="H2:O2" si="0">G2</f>
        <v>20</v>
      </c>
      <c r="I2" s="6">
        <f t="shared" si="0"/>
        <v>20</v>
      </c>
      <c r="J2" s="6">
        <f t="shared" si="0"/>
        <v>20</v>
      </c>
      <c r="K2" s="6">
        <f t="shared" si="0"/>
        <v>20</v>
      </c>
      <c r="L2" s="6">
        <f t="shared" si="0"/>
        <v>20</v>
      </c>
      <c r="M2" s="6">
        <f t="shared" si="0"/>
        <v>20</v>
      </c>
      <c r="N2" s="6">
        <f t="shared" si="0"/>
        <v>20</v>
      </c>
      <c r="O2" s="6">
        <f t="shared" si="0"/>
        <v>20</v>
      </c>
    </row>
    <row r="3" spans="1:15" ht="26" x14ac:dyDescent="0.6">
      <c r="A3" s="2" t="s">
        <v>3</v>
      </c>
      <c r="B3" s="7">
        <v>0.04</v>
      </c>
      <c r="C3" s="7"/>
      <c r="D3" s="8" t="s">
        <v>6</v>
      </c>
      <c r="E3" s="3"/>
      <c r="F3" s="6"/>
      <c r="G3" s="6"/>
      <c r="H3" s="6"/>
      <c r="I3" s="6"/>
      <c r="J3" s="6"/>
      <c r="K3" s="6"/>
      <c r="L3" s="6"/>
      <c r="M3" s="6"/>
      <c r="N3" s="6"/>
      <c r="O3" s="6">
        <v>1000</v>
      </c>
    </row>
    <row r="4" spans="1:15" ht="26" x14ac:dyDescent="0.6">
      <c r="A4" s="2" t="s">
        <v>2</v>
      </c>
      <c r="B4" s="3">
        <v>10</v>
      </c>
      <c r="C4" s="3"/>
      <c r="D4" s="2" t="s">
        <v>7</v>
      </c>
      <c r="E4" s="3"/>
      <c r="F4" s="6">
        <f>SUM(F2:F3)/POWER(1+$B$1/2,F1)</f>
        <v>19.564637895236256</v>
      </c>
      <c r="G4" s="3">
        <f t="shared" ref="G4:O4" si="1">SUM(G2:G3)/POWER(1+$B$1/2,G1)</f>
        <v>19.138752798585728</v>
      </c>
      <c r="H4" s="3">
        <f t="shared" si="1"/>
        <v>18.722138413538463</v>
      </c>
      <c r="I4" s="3">
        <f t="shared" si="1"/>
        <v>18.314592934268649</v>
      </c>
      <c r="J4" s="3">
        <f t="shared" si="1"/>
        <v>17.915918947880925</v>
      </c>
      <c r="K4" s="3">
        <f t="shared" si="1"/>
        <v>17.525923338784622</v>
      </c>
      <c r="L4" s="3">
        <f t="shared" si="1"/>
        <v>17.144417195149558</v>
      </c>
      <c r="M4" s="3">
        <f t="shared" si="1"/>
        <v>16.771215717398153</v>
      </c>
      <c r="N4" s="3">
        <f t="shared" si="1"/>
        <v>16.406138128689491</v>
      </c>
      <c r="O4" s="3">
        <f t="shared" si="1"/>
        <v>818.49938695494905</v>
      </c>
    </row>
    <row r="5" spans="1:15" ht="26" x14ac:dyDescent="0.6">
      <c r="A5" s="2" t="s">
        <v>8</v>
      </c>
      <c r="B5" s="11">
        <f>SUM(F4:O4)</f>
        <v>980.00312232448084</v>
      </c>
      <c r="C5" s="1"/>
      <c r="D5" s="1"/>
    </row>
    <row r="6" spans="1:15" ht="26" x14ac:dyDescent="0.6">
      <c r="A6" s="2" t="s">
        <v>9</v>
      </c>
      <c r="B6" s="10">
        <v>980</v>
      </c>
    </row>
    <row r="7" spans="1:15" ht="26" x14ac:dyDescent="0.6">
      <c r="A7" s="2" t="s">
        <v>10</v>
      </c>
      <c r="B7" s="1">
        <f>B5-B6</f>
        <v>3.1223244808415984E-3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 1</vt:lpstr>
      <vt:lpstr>Ex2</vt:lpstr>
      <vt:lpstr>Ex 3 </vt:lpstr>
      <vt:lpstr>Ex 2 high</vt:lpstr>
      <vt:lpstr>Sample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Lee</dc:creator>
  <cp:lastModifiedBy>Thomas Lee</cp:lastModifiedBy>
  <dcterms:created xsi:type="dcterms:W3CDTF">2026-10-04T01:33:21Z</dcterms:created>
  <dcterms:modified xsi:type="dcterms:W3CDTF">2026-10-28T00:58:03Z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PointerModeOptions" visible="true"/>
      </mso:documentControls>
    </mso:qat>
  </mso:ribbon>
</mso:customUI>
</file>